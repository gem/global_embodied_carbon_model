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tina.caruso/Documents/wip/global_embodied_carbon_model/Europe/Replacement_Embodied_Carbon/embodied_carbon_factors/"/>
    </mc:Choice>
  </mc:AlternateContent>
  <xr:revisionPtr revIDLastSave="0" documentId="13_ncr:1_{80012962-AE8D-694A-97E2-6CEE8A1F7593}" xr6:coauthVersionLast="47" xr6:coauthVersionMax="47" xr10:uidLastSave="{00000000-0000-0000-0000-000000000000}"/>
  <bookViews>
    <workbookView xWindow="-1100" yWindow="-20640" windowWidth="30240" windowHeight="17600" xr2:uid="{00000000-000D-0000-FFFF-FFFF00000000}"/>
  </bookViews>
  <sheets>
    <sheet name="Embodied Carbon Factors" sheetId="1" r:id="rId1"/>
    <sheet name="Module A1-A3" sheetId="2" r:id="rId2"/>
    <sheet name="Modules A4-A5" sheetId="3" r:id="rId3"/>
    <sheet name="EU-Earthen materials" sheetId="4" r:id="rId4"/>
    <sheet name="EU-Ceramic tiles" sheetId="5" r:id="rId5"/>
    <sheet name="EU-Lay in tile ceilings" sheetId="6" r:id="rId6"/>
    <sheet name="EU-Raised access floors" sheetId="7" r:id="rId7"/>
    <sheet name="EU-Piping" sheetId="8" r:id="rId8"/>
    <sheet name="EU-Elevators" sheetId="9" r:id="rId9"/>
    <sheet name="EU-HVAC" sheetId="10" r:id="rId10"/>
    <sheet name="EU-Electrical system" sheetId="11" r:id="rId11"/>
    <sheet name="EU-Fire system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2" l="1"/>
  <c r="J4" i="12"/>
  <c r="J3" i="12"/>
  <c r="G21" i="11"/>
  <c r="J4" i="11" s="1"/>
  <c r="E39" i="1" s="1"/>
  <c r="E71" i="2" s="1"/>
  <c r="J3" i="11"/>
  <c r="H31" i="10"/>
  <c r="K4" i="10" s="1"/>
  <c r="E38" i="1" s="1"/>
  <c r="E70" i="2" s="1"/>
  <c r="K3" i="10"/>
  <c r="H3" i="10"/>
  <c r="K35" i="9"/>
  <c r="O35" i="9" s="1"/>
  <c r="N34" i="9"/>
  <c r="K34" i="9"/>
  <c r="O34" i="9" s="1"/>
  <c r="O33" i="9"/>
  <c r="K33" i="9"/>
  <c r="N33" i="9" s="1"/>
  <c r="K32" i="9"/>
  <c r="N32" i="9" s="1"/>
  <c r="K31" i="9"/>
  <c r="O31" i="9" s="1"/>
  <c r="O30" i="9"/>
  <c r="N30" i="9"/>
  <c r="K30" i="9"/>
  <c r="O29" i="9"/>
  <c r="N29" i="9"/>
  <c r="K29" i="9"/>
  <c r="K28" i="9"/>
  <c r="N28" i="9" s="1"/>
  <c r="O27" i="9"/>
  <c r="N27" i="9"/>
  <c r="K27" i="9"/>
  <c r="O26" i="9"/>
  <c r="N26" i="9"/>
  <c r="K26" i="9"/>
  <c r="K25" i="9"/>
  <c r="O25" i="9" s="1"/>
  <c r="K24" i="9"/>
  <c r="O24" i="9" s="1"/>
  <c r="O23" i="9"/>
  <c r="K23" i="9"/>
  <c r="N23" i="9" s="1"/>
  <c r="K22" i="9"/>
  <c r="N22" i="9" s="1"/>
  <c r="K21" i="9"/>
  <c r="O21" i="9" s="1"/>
  <c r="O20" i="9"/>
  <c r="N20" i="9"/>
  <c r="K20" i="9"/>
  <c r="O19" i="9"/>
  <c r="N19" i="9"/>
  <c r="K19" i="9"/>
  <c r="K18" i="9"/>
  <c r="N18" i="9" s="1"/>
  <c r="O17" i="9"/>
  <c r="N17" i="9"/>
  <c r="K17" i="9"/>
  <c r="O16" i="9"/>
  <c r="N16" i="9"/>
  <c r="K16" i="9"/>
  <c r="K15" i="9"/>
  <c r="O15" i="9" s="1"/>
  <c r="K14" i="9"/>
  <c r="O14" i="9" s="1"/>
  <c r="O13" i="9"/>
  <c r="K13" i="9"/>
  <c r="N13" i="9" s="1"/>
  <c r="K12" i="9"/>
  <c r="N12" i="9" s="1"/>
  <c r="K11" i="9"/>
  <c r="O11" i="9" s="1"/>
  <c r="O10" i="9"/>
  <c r="N10" i="9"/>
  <c r="K10" i="9"/>
  <c r="O9" i="9"/>
  <c r="N9" i="9"/>
  <c r="K9" i="9"/>
  <c r="K8" i="9"/>
  <c r="O8" i="9" s="1"/>
  <c r="O7" i="9"/>
  <c r="K7" i="9"/>
  <c r="N7" i="9" s="1"/>
  <c r="K6" i="9"/>
  <c r="N6" i="9" s="1"/>
  <c r="K5" i="9"/>
  <c r="O5" i="9" s="1"/>
  <c r="O4" i="9"/>
  <c r="K4" i="9"/>
  <c r="N4" i="9" s="1"/>
  <c r="J3" i="9"/>
  <c r="K3" i="9" s="1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99" i="8"/>
  <c r="H75" i="8"/>
  <c r="H74" i="8"/>
  <c r="H48" i="8"/>
  <c r="H39" i="8"/>
  <c r="H14" i="8"/>
  <c r="M4" i="8" s="1"/>
  <c r="E35" i="1" s="1"/>
  <c r="H13" i="8"/>
  <c r="H8" i="8"/>
  <c r="H7" i="8"/>
  <c r="H6" i="8"/>
  <c r="L4" i="7"/>
  <c r="L3" i="7"/>
  <c r="G35" i="6"/>
  <c r="G26" i="6"/>
  <c r="L3" i="6" s="1"/>
  <c r="D33" i="1" s="1"/>
  <c r="D45" i="2" s="1"/>
  <c r="D46" i="2" s="1"/>
  <c r="D47" i="2" s="1"/>
  <c r="L4" i="5"/>
  <c r="L3" i="5"/>
  <c r="G13" i="4"/>
  <c r="J12" i="4"/>
  <c r="G12" i="4"/>
  <c r="J13" i="4" s="1"/>
  <c r="E16" i="1" s="1"/>
  <c r="G5" i="4"/>
  <c r="J4" i="4"/>
  <c r="E17" i="1" s="1"/>
  <c r="G4" i="4"/>
  <c r="G3" i="4"/>
  <c r="J3" i="4" s="1"/>
  <c r="D17" i="1" s="1"/>
  <c r="C18" i="3"/>
  <c r="C16" i="3"/>
  <c r="C12" i="3"/>
  <c r="C13" i="3" s="1"/>
  <c r="C5" i="3"/>
  <c r="C72" i="2"/>
  <c r="C71" i="2"/>
  <c r="C70" i="2"/>
  <c r="F69" i="2"/>
  <c r="C68" i="2"/>
  <c r="B68" i="2"/>
  <c r="F67" i="2"/>
  <c r="C66" i="2"/>
  <c r="B66" i="2"/>
  <c r="F65" i="2"/>
  <c r="F61" i="2"/>
  <c r="F58" i="2"/>
  <c r="F64" i="2" s="1"/>
  <c r="C58" i="2"/>
  <c r="C64" i="2" s="1"/>
  <c r="B58" i="2"/>
  <c r="B69" i="2" s="1"/>
  <c r="F57" i="2"/>
  <c r="F66" i="2" s="1"/>
  <c r="C57" i="2"/>
  <c r="C63" i="2" s="1"/>
  <c r="B57" i="2"/>
  <c r="B63" i="2" s="1"/>
  <c r="F54" i="2"/>
  <c r="C54" i="2"/>
  <c r="F51" i="2"/>
  <c r="E51" i="2"/>
  <c r="D51" i="2"/>
  <c r="F50" i="2"/>
  <c r="E50" i="2"/>
  <c r="D50" i="2"/>
  <c r="E49" i="2"/>
  <c r="D49" i="2"/>
  <c r="E48" i="2"/>
  <c r="D48" i="2"/>
  <c r="F47" i="2"/>
  <c r="F46" i="2"/>
  <c r="C45" i="2"/>
  <c r="C46" i="2" s="1"/>
  <c r="C47" i="2" s="1"/>
  <c r="E44" i="2"/>
  <c r="D44" i="2"/>
  <c r="E43" i="2"/>
  <c r="D43" i="2"/>
  <c r="F42" i="2"/>
  <c r="E42" i="2"/>
  <c r="D42" i="2"/>
  <c r="B42" i="2"/>
  <c r="F41" i="2"/>
  <c r="E41" i="2"/>
  <c r="D41" i="2"/>
  <c r="B41" i="2"/>
  <c r="F40" i="2"/>
  <c r="E40" i="2"/>
  <c r="D40" i="2"/>
  <c r="B40" i="2"/>
  <c r="E39" i="2"/>
  <c r="D39" i="2"/>
  <c r="B39" i="2"/>
  <c r="F38" i="2"/>
  <c r="E38" i="2"/>
  <c r="D38" i="2"/>
  <c r="B38" i="2"/>
  <c r="B37" i="2"/>
  <c r="F35" i="2"/>
  <c r="E35" i="2"/>
  <c r="D35" i="2"/>
  <c r="C35" i="2"/>
  <c r="F34" i="2"/>
  <c r="E34" i="2"/>
  <c r="D34" i="2"/>
  <c r="C34" i="2"/>
  <c r="F33" i="2"/>
  <c r="E33" i="2"/>
  <c r="D33" i="2"/>
  <c r="F32" i="2"/>
  <c r="E32" i="2"/>
  <c r="D32" i="2"/>
  <c r="F31" i="2"/>
  <c r="E31" i="2"/>
  <c r="D31" i="2"/>
  <c r="E30" i="2"/>
  <c r="D30" i="2"/>
  <c r="E29" i="2"/>
  <c r="D29" i="2"/>
  <c r="E28" i="2"/>
  <c r="D28" i="2"/>
  <c r="E27" i="2"/>
  <c r="D27" i="2"/>
  <c r="E26" i="2"/>
  <c r="D26" i="2"/>
  <c r="F25" i="2"/>
  <c r="F24" i="2"/>
  <c r="F23" i="2"/>
  <c r="F22" i="2"/>
  <c r="F21" i="2"/>
  <c r="F20" i="2"/>
  <c r="F19" i="2"/>
  <c r="F18" i="2"/>
  <c r="F17" i="2"/>
  <c r="F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F39" i="2" s="1"/>
  <c r="E9" i="2"/>
  <c r="D9" i="2"/>
  <c r="F8" i="2"/>
  <c r="E8" i="2"/>
  <c r="D8" i="2"/>
  <c r="F7" i="2"/>
  <c r="F37" i="2" s="1"/>
  <c r="E7" i="2"/>
  <c r="E37" i="2" s="1"/>
  <c r="D7" i="2"/>
  <c r="D37" i="2" s="1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E40" i="1"/>
  <c r="E72" i="2" s="1"/>
  <c r="D40" i="1"/>
  <c r="D72" i="2" s="1"/>
  <c r="D39" i="1"/>
  <c r="D71" i="2" s="1"/>
  <c r="D38" i="1"/>
  <c r="D70" i="2" s="1"/>
  <c r="E34" i="1"/>
  <c r="E36" i="2" s="1"/>
  <c r="D34" i="1"/>
  <c r="D36" i="2" s="1"/>
  <c r="I25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D16" i="1"/>
  <c r="H12" i="1"/>
  <c r="G12" i="1"/>
  <c r="F12" i="1"/>
  <c r="E12" i="1"/>
  <c r="D12" i="1"/>
  <c r="C12" i="1"/>
  <c r="B12" i="1"/>
  <c r="O3" i="9" l="1"/>
  <c r="N3" i="9"/>
  <c r="E55" i="2"/>
  <c r="E57" i="2" s="1"/>
  <c r="E56" i="2"/>
  <c r="E58" i="2" s="1"/>
  <c r="F60" i="2"/>
  <c r="F62" i="2"/>
  <c r="C59" i="2"/>
  <c r="C61" i="2"/>
  <c r="C65" i="2"/>
  <c r="C67" i="2"/>
  <c r="C69" i="2"/>
  <c r="L4" i="6"/>
  <c r="E33" i="1" s="1"/>
  <c r="E45" i="2" s="1"/>
  <c r="E46" i="2" s="1"/>
  <c r="E47" i="2" s="1"/>
  <c r="O6" i="9"/>
  <c r="O12" i="9"/>
  <c r="O22" i="9"/>
  <c r="O32" i="9"/>
  <c r="M3" i="8"/>
  <c r="D35" i="1" s="1"/>
  <c r="N14" i="9"/>
  <c r="N24" i="9"/>
  <c r="N5" i="9"/>
  <c r="N8" i="9"/>
  <c r="N11" i="9"/>
  <c r="N21" i="9"/>
  <c r="S7" i="9" s="1"/>
  <c r="D37" i="1" s="1"/>
  <c r="D53" i="2" s="1"/>
  <c r="D54" i="2" s="1"/>
  <c r="N31" i="9"/>
  <c r="B60" i="2"/>
  <c r="B62" i="2"/>
  <c r="B64" i="2"/>
  <c r="C60" i="2"/>
  <c r="C62" i="2"/>
  <c r="F68" i="2"/>
  <c r="N15" i="9"/>
  <c r="O18" i="9"/>
  <c r="N25" i="9"/>
  <c r="O28" i="9"/>
  <c r="N35" i="9"/>
  <c r="F59" i="2"/>
  <c r="F63" i="2"/>
  <c r="B59" i="2"/>
  <c r="B61" i="2"/>
  <c r="B65" i="2"/>
  <c r="B67" i="2"/>
  <c r="D56" i="2" l="1"/>
  <c r="D58" i="2" s="1"/>
  <c r="D55" i="2"/>
  <c r="D57" i="2" s="1"/>
  <c r="E64" i="2"/>
  <c r="E62" i="2"/>
  <c r="E60" i="2"/>
  <c r="E69" i="2"/>
  <c r="E67" i="2"/>
  <c r="E65" i="2"/>
  <c r="E61" i="2"/>
  <c r="S4" i="9"/>
  <c r="E36" i="1" s="1"/>
  <c r="E52" i="2" s="1"/>
  <c r="S3" i="9"/>
  <c r="D36" i="1" s="1"/>
  <c r="D52" i="2" s="1"/>
  <c r="E66" i="2"/>
  <c r="E68" i="2"/>
  <c r="E63" i="2"/>
  <c r="E59" i="2"/>
  <c r="S8" i="9"/>
  <c r="E37" i="1" s="1"/>
  <c r="E53" i="2" s="1"/>
  <c r="E54" i="2" s="1"/>
  <c r="D66" i="2" l="1"/>
  <c r="D68" i="2"/>
  <c r="D63" i="2"/>
  <c r="D59" i="2"/>
  <c r="D60" i="2"/>
  <c r="D62" i="2"/>
  <c r="D64" i="2"/>
  <c r="D69" i="2"/>
  <c r="D67" i="2"/>
  <c r="D65" i="2"/>
  <c r="D61" i="2"/>
</calcChain>
</file>

<file path=xl/sharedStrings.xml><?xml version="1.0" encoding="utf-8"?>
<sst xmlns="http://schemas.openxmlformats.org/spreadsheetml/2006/main" count="3299" uniqueCount="948">
  <si>
    <t>material/component</t>
  </si>
  <si>
    <t>region</t>
  </si>
  <si>
    <t>unit</t>
  </si>
  <si>
    <t>kg CO2e/unit</t>
  </si>
  <si>
    <t>st dev</t>
  </si>
  <si>
    <t>source</t>
  </si>
  <si>
    <t>modules</t>
  </si>
  <si>
    <t>notes</t>
  </si>
  <si>
    <t>electricity share</t>
  </si>
  <si>
    <t>thermal energy share</t>
  </si>
  <si>
    <t>Ready-mix concrete</t>
  </si>
  <si>
    <t>Europe</t>
  </si>
  <si>
    <t>m3</t>
  </si>
  <si>
    <t>EC3</t>
  </si>
  <si>
    <t>A1-A3</t>
  </si>
  <si>
    <t>2400 kg/m3</t>
  </si>
  <si>
    <t>Steel rebars</t>
  </si>
  <si>
    <t>kg</t>
  </si>
  <si>
    <t>-</t>
  </si>
  <si>
    <t>Hot-rolled steel sections</t>
  </si>
  <si>
    <t>Cold-formed steel sections</t>
  </si>
  <si>
    <t>Steel decking</t>
  </si>
  <si>
    <t>Mass timber</t>
  </si>
  <si>
    <t>640 kg/m3</t>
  </si>
  <si>
    <t>Nonstructural wood</t>
  </si>
  <si>
    <t>Hollow clay bricks</t>
  </si>
  <si>
    <t>Asdrubali et al. (2023)</t>
  </si>
  <si>
    <t>400-1604 kg/m3</t>
  </si>
  <si>
    <t>Solid clay bricks</t>
  </si>
  <si>
    <t>600-2300 kg/m3</t>
  </si>
  <si>
    <t>Hollow concrete blocks</t>
  </si>
  <si>
    <t>115-2245kg/m3</t>
  </si>
  <si>
    <t>Solid concrete blocks</t>
  </si>
  <si>
    <t>Sandstone bricks</t>
  </si>
  <si>
    <t>1450-2570 kg/m3</t>
  </si>
  <si>
    <t>Granite</t>
  </si>
  <si>
    <t>United Kingdom</t>
  </si>
  <si>
    <t>Crishna et al. (2011)</t>
  </si>
  <si>
    <t>2700 kg/m3</t>
  </si>
  <si>
    <t>Adobe bricks</t>
  </si>
  <si>
    <t>Cyprus</t>
  </si>
  <si>
    <t>Christoforou et al. (2016)</t>
  </si>
  <si>
    <t>A1-A4</t>
  </si>
  <si>
    <t>Scenario 4 (on the building site using locally available soil and transported sawdust (50 km)) 0.0017 kg/kg, assuming sawdust with density equal to 1,500 kg/m3.</t>
  </si>
  <si>
    <t>Rammed earth</t>
  </si>
  <si>
    <t>Portugal</t>
  </si>
  <si>
    <t>Manual collection</t>
  </si>
  <si>
    <t>A1-A5</t>
  </si>
  <si>
    <t>2000 kg/m3</t>
  </si>
  <si>
    <t>Compressed earth blocks</t>
  </si>
  <si>
    <t>Aluminum window frame, double glazing</t>
  </si>
  <si>
    <t>m2</t>
  </si>
  <si>
    <t>Asdrubali et al. (2021)</t>
  </si>
  <si>
    <t>Average value</t>
  </si>
  <si>
    <t>Aluminum window frame, triple glazing</t>
  </si>
  <si>
    <t>Wooden window frame, double glazing</t>
  </si>
  <si>
    <t>Wooden window frame, triple glazing</t>
  </si>
  <si>
    <t>PVC window frame, double glazing</t>
  </si>
  <si>
    <t>PVC window frame, triple glazing</t>
  </si>
  <si>
    <t>Steel window frame, double glazing</t>
  </si>
  <si>
    <t>Steel window frame, triple glazing</t>
  </si>
  <si>
    <t>Ceramic tiles</t>
  </si>
  <si>
    <t>18 kg/m2</t>
  </si>
  <si>
    <t>Gypsum boards</t>
  </si>
  <si>
    <t>20 kg/m2</t>
  </si>
  <si>
    <t>Mineral wool</t>
  </si>
  <si>
    <t>80 kg/m3</t>
  </si>
  <si>
    <t>Cement</t>
  </si>
  <si>
    <t>ton</t>
  </si>
  <si>
    <t>Sand</t>
  </si>
  <si>
    <t>ICE</t>
  </si>
  <si>
    <t>Marble</t>
  </si>
  <si>
    <t>Bituminous roof membrane</t>
  </si>
  <si>
    <t>5 kg/m2</t>
  </si>
  <si>
    <t>Metal ceilings (lay in tile)</t>
  </si>
  <si>
    <t>8 kg/m2</t>
  </si>
  <si>
    <t>Raised access floor</t>
  </si>
  <si>
    <t>Plastic pipes</t>
  </si>
  <si>
    <t>Elevators (RES)</t>
  </si>
  <si>
    <t>Elevators (COM/IND)</t>
  </si>
  <si>
    <t>HVAC</t>
  </si>
  <si>
    <t>m2 built area</t>
  </si>
  <si>
    <t>Electrical system</t>
  </si>
  <si>
    <t>Fire system</t>
  </si>
  <si>
    <t>component</t>
  </si>
  <si>
    <t>description</t>
  </si>
  <si>
    <t>kg/unit</t>
  </si>
  <si>
    <t>waste rate</t>
  </si>
  <si>
    <t>materials</t>
  </si>
  <si>
    <t>density (kg/m3)</t>
  </si>
  <si>
    <t>RC beam</t>
  </si>
  <si>
    <t>225 kg of steel per cubic meter (2.86% volumetric ratio)</t>
  </si>
  <si>
    <t>concrete (unreinf)</t>
  </si>
  <si>
    <t>RC column</t>
  </si>
  <si>
    <t>325 kg of steel per cubic meter (4.14% volumetric ratio)</t>
  </si>
  <si>
    <t>steel</t>
  </si>
  <si>
    <t>RC frame</t>
  </si>
  <si>
    <t>1/3 columns and 2/3 beams</t>
  </si>
  <si>
    <t>solid clay</t>
  </si>
  <si>
    <t>RC foundation</t>
  </si>
  <si>
    <t>85 kg of steel per cubic meter (1.08% volumetric ratio)</t>
  </si>
  <si>
    <t>hollow clay</t>
  </si>
  <si>
    <t>RC wall</t>
  </si>
  <si>
    <t>125 kg of steel per cubic meter (1.59% volumetric ratio)</t>
  </si>
  <si>
    <t>hollow clay (slab)</t>
  </si>
  <si>
    <t>RC solid slab</t>
  </si>
  <si>
    <t>110 kg of steel per cubic meter (1.4% volumetric ratio)</t>
  </si>
  <si>
    <t>hollow concrete</t>
  </si>
  <si>
    <t>RC ribbed slab (with hollow clay bricks)</t>
  </si>
  <si>
    <t>90 kg of steel per cubic meter (1.15% volumetric ratio) and 40x40x17 cm hollow clay blocks with density 500 kg/m3 (36%), 8 cm flange and 15 cm web, slab height 0.25 m</t>
  </si>
  <si>
    <t>timber</t>
  </si>
  <si>
    <t>RC ribbed slab (with hollow concrete blocks)</t>
  </si>
  <si>
    <t>90 kg of steel per cubic meter (1.15% volumetric ratio) and 40x40x17 cm hollow concrete blocks with density 1500 kg/m3 (36%), 8 cm flange and 15 cm web, slab height 0.25 m</t>
  </si>
  <si>
    <t>gypsum</t>
  </si>
  <si>
    <t>RC and steel composite floor</t>
  </si>
  <si>
    <t>90 kg of steel per cubic meter (1.15% volumetric ratio), 15 cm solid slab, 7610 mm2 girders with 2 m spacing, steel deck with depth of 80 mm, openings spaced by 120 mm with 120 mm width [each 1 m of slab will have 3.333 parts of deck]</t>
  </si>
  <si>
    <t>stone wool</t>
  </si>
  <si>
    <t>Timber floor</t>
  </si>
  <si>
    <t>timber joist 30x5 cm spaced at 0.6 m one way, timber slab 2 cm thick, 0.045 m3/m2</t>
  </si>
  <si>
    <t>mortar</t>
  </si>
  <si>
    <t>RC and timber composite floor</t>
  </si>
  <si>
    <t>timber joist 30x5 cm spaced at 0.6 m one way (34% volumetric ratio), solid RC slab of 5 cm thickness (66% volumetric ratio), 90 kg of steel per cubic meter (1.15% volumetric ratio), 0.075 m3/m2</t>
  </si>
  <si>
    <t>plaster</t>
  </si>
  <si>
    <t>Timber structural components</t>
  </si>
  <si>
    <t>applicable to walls and to frames</t>
  </si>
  <si>
    <t>granite</t>
  </si>
  <si>
    <t>Cold formed steel members</t>
  </si>
  <si>
    <t>density 7850 kg/m3</t>
  </si>
  <si>
    <t>Hot rolled steel members</t>
  </si>
  <si>
    <t>Solid clay infill (external)</t>
  </si>
  <si>
    <t>density 1700 kg/m3, brick 25x25 cm, panel 3x4.5 m, 25 cm thick, mortar (2100 kgm3) within 1 cm joints (1/4 ratio), plaster of 3 cm thick (800 kg/m3) (1/6 ratio), two-layer stone wool insulation</t>
  </si>
  <si>
    <t>m</t>
  </si>
  <si>
    <t>Hollow clay infill (external)</t>
  </si>
  <si>
    <t>density 1300 kg/m3, brick 25x25 cm, panel 3x4.5 m, 25 cm thick, mortar (2100 kgm3) within 1 cm joints (1/4 ratio), plaster of 3 cm thick (800 kg/m3) (1/6 ratio), two-layer stone wool insulation</t>
  </si>
  <si>
    <t>Hollow concrete infill (external)</t>
  </si>
  <si>
    <t>density 1500 kg/m3, brick 25x25 cm, panel 3x4.5 m, 25 cm thick, mortar (2100 kgm3) within 1 cm joints (1/4 ratio), plaster of 3 cm thick (800 kg/m3) (1/6 ratio), two-layer stone wool insulation</t>
  </si>
  <si>
    <t>Solid clay infill (internal)</t>
  </si>
  <si>
    <t>density 1700 kg/m3, brick 25x25 cm, panel 3x4.5 m, 10 cm thick, mortar (2100 kgm3) within 1 cm joints (1/4 ratio), plaster of 3 cm thick (800 kg/m3) (1/6 ratio)</t>
  </si>
  <si>
    <t>Hollow clay infill (internal)</t>
  </si>
  <si>
    <t>density 1300 kg/m3, brick 25x25 cm, panel 3x4.5 m, 10 cm thick, mortar (2100 kgm3) within 1 cm joints (1/4 ratio), plaster of 3 cm thick (800 kg/m3) (1/6 ratio)</t>
  </si>
  <si>
    <t>Hollow concrete infill (internal)</t>
  </si>
  <si>
    <t>density 1500 kg/m3, brick 25x25 cm, panel 3x4.5 m, 10 cm thick, mortar (2100 kgm3) within 1 cm joints (1/4 ratio), plaster of 3 cm thick (800 kg/m3) (1/6 ratio)</t>
  </si>
  <si>
    <t>Unreinforced masonry wall (with solid clay bricks)</t>
  </si>
  <si>
    <t>density 1700 kg/m3, brick 25x25 cm, panel 3x4.5 m, 30 cm thick, plaster of 3 cm thick (800 kg/m3) (1/6 ratio), mortar (2100 kgm3) within 1 cm joints (1/4 ratio), two-layer stone wool insulation</t>
  </si>
  <si>
    <t>Unreinforced masonry wall (with hollow clay bricks)</t>
  </si>
  <si>
    <t>density 1300 kg/m3, brick 25x25 cm, panel 3x4.5 m, 30 cm thick, plaster of 3 cm thick (800 kg/m3) (1/6 ratio), mortar (2100 kgm3) within 1 cm joints (1/4 ratio), two-layer stone wool insulation</t>
  </si>
  <si>
    <t>Reinforced masonry wall (with hollow concrete blocks)</t>
  </si>
  <si>
    <t>one vertical bar (16 mm) for each brick, two horizontal bars (12 mm) for every other joint, thickess 30 cm, 20% void filled by concrete, plaster of 3 cm thick (800 kg/m3) (1/6 ratio), mortar (2100 kgm3) within 1 cm joints (1/4 ratio), two-layer stone wool insulation, 70% external walls + 30% internal walls</t>
  </si>
  <si>
    <t>Reinforced masonry wall (with hollow clay bricks)</t>
  </si>
  <si>
    <t>Steel panels (Res)</t>
  </si>
  <si>
    <t>10 cm solid clay bricks (with mortar included considering brick size 25*10*10 cm, assuming 1 m width fits 4 bricks given their size), 2 cm plasterboards, 15 cm studs (2 in 1 m) of 1 mm thickness and 30 cm length, 15 cm insulation layer (27 cm total thickness), 878 kg/m3, 3.25 m high</t>
  </si>
  <si>
    <t>Steel panels (Com)</t>
  </si>
  <si>
    <t>0.2 mm deck, 2 cm plasterboards, 15 cm studs (2 in 1 m) of 1 mm thickness and 30 cm length, 15 cm insulation layer (17 cm total thickness), 225 kg/m3, 4 m high</t>
  </si>
  <si>
    <t>Steel panels (Ind)</t>
  </si>
  <si>
    <t>0.2 mm deck (2 layers), 10 cm insulation layer (10 cm total thickness), 111 kg/m3, 4 m high</t>
  </si>
  <si>
    <t>Timber infills</t>
  </si>
  <si>
    <t>1 cm timber panel, 2 cm plasterboards, 10 cm studs (2 in 1 m) of 1 mm thickness and 20 cm length, 10 cm insulation layer (13 cm total thickness), 289 kg/m3, 4 m high</t>
  </si>
  <si>
    <t>Timber partitions</t>
  </si>
  <si>
    <t>1 cm timber panel, 2 cm plasterboards, 10 cm studs (2 in 1 m) of 1 mm thickness and 30 cm length (13 cm total thickness), 227 kg/m3, 4 m high</t>
  </si>
  <si>
    <t>Cladding (gross wall area)</t>
  </si>
  <si>
    <t>nonstructural timber panels, density 640 kg/m3, 2 cm thick</t>
  </si>
  <si>
    <t>Cladding (windows and glazing area)</t>
  </si>
  <si>
    <t>granite, 2700 kg/m3, 2 cm thick</t>
  </si>
  <si>
    <t>Doors (nonstructural wood)</t>
  </si>
  <si>
    <t>nonstructural timber panels, density 640 kg/m3, 2.1x0.9x0.05 m</t>
  </si>
  <si>
    <t>Double-glazed windows with PVC frames</t>
  </si>
  <si>
    <t>weight 30 kg/m2, 60% glass, 40% PVC</t>
  </si>
  <si>
    <t>Ceramic tile floors</t>
  </si>
  <si>
    <t>Raised access floors</t>
  </si>
  <si>
    <t>RC solid roofing</t>
  </si>
  <si>
    <t>RC ribbed roofing (with hollow clay bricks)</t>
  </si>
  <si>
    <t>RC ribbed roofing (with hollow concrete blocks)</t>
  </si>
  <si>
    <t>RC and steel composite roofing</t>
  </si>
  <si>
    <t>Timber roofing</t>
  </si>
  <si>
    <t>RC and timber composite roofing</t>
  </si>
  <si>
    <t>Gypsum partitions</t>
  </si>
  <si>
    <t>density 1000 kg/m3 (20 kg/m2), 2 gypsum boards 1.25 cm thick, 7.5 cm studs (2 in 1 m)  of 1 mm thickness and 15 cm length, 274 kg/m3</t>
  </si>
  <si>
    <t>Ceramic tile walls</t>
  </si>
  <si>
    <t>Metal ceilings (other)</t>
  </si>
  <si>
    <t>Metal ceilings (other - high end)</t>
  </si>
  <si>
    <t>Gypsum ceilings</t>
  </si>
  <si>
    <t>Storage racks</t>
  </si>
  <si>
    <t>20 kg/m</t>
  </si>
  <si>
    <t>Stairs (RC)</t>
  </si>
  <si>
    <t>4.8 m3 per unit, 2500 kg/m3 for reinforced concrete</t>
  </si>
  <si>
    <t>Stairs (timber)</t>
  </si>
  <si>
    <t>4.8 m3 per unit, 640 kg/m3 for mass timber</t>
  </si>
  <si>
    <t>Elevators (Res)</t>
  </si>
  <si>
    <t>Elevators (Com)</t>
  </si>
  <si>
    <t>Elevators (Ind)</t>
  </si>
  <si>
    <t>Plastic pipes (small diameter)</t>
  </si>
  <si>
    <t>1 kg/m</t>
  </si>
  <si>
    <t>Plastic pipes (large diameter)</t>
  </si>
  <si>
    <t>3.5 kg/m</t>
  </si>
  <si>
    <t>Piping (cold domestic water piping  - 2 ½ inch diameter or smaller)</t>
  </si>
  <si>
    <t>Piping (cold domestic water piping – greater than 2 ½ diameter)</t>
  </si>
  <si>
    <t>Piping (hot domestic water piping - 2 ½ inch diameter or smaller)</t>
  </si>
  <si>
    <t>Piping (hot domestic waster piping – greater than 2 ½ diameter)</t>
  </si>
  <si>
    <t>Piping (gas supply piping)</t>
  </si>
  <si>
    <t>Piping (sanitary waste piping)</t>
  </si>
  <si>
    <t>Piping (process piping - 2 ½ inch diameter or smaller)</t>
  </si>
  <si>
    <t>Piping (process piping – greater than 2 ½ diameter)</t>
  </si>
  <si>
    <t>Piping (acid waste piping)</t>
  </si>
  <si>
    <t>Piping (steam &amp; chilled water piping - 2 ½ inch diameter or smaller)</t>
  </si>
  <si>
    <t>Piping (steam &amp; chilled water piping - greater than 2 ½ diameter)</t>
  </si>
  <si>
    <t>Piping (heating water piping - 2 ½ inch diameter or smaller)</t>
  </si>
  <si>
    <t>Piping (heating water piping - greater than 2 ½ diameter</t>
  </si>
  <si>
    <t>module A4</t>
  </si>
  <si>
    <t>Distance (km)</t>
  </si>
  <si>
    <t>Load empy trucks (%)</t>
  </si>
  <si>
    <t>A4 factor (kgCO2e/t/km)</t>
  </si>
  <si>
    <t>A4 factor (kgCO2e/t)</t>
  </si>
  <si>
    <t>module A5</t>
  </si>
  <si>
    <t>sub-module A5.1</t>
  </si>
  <si>
    <t>C1</t>
  </si>
  <si>
    <t>25% of sub-module A5.2</t>
  </si>
  <si>
    <t>C2</t>
  </si>
  <si>
    <t>C2 factor (kgCO2e/t/km)</t>
  </si>
  <si>
    <t>C2 factor (kgCO2e/t)</t>
  </si>
  <si>
    <t>C3-C4</t>
  </si>
  <si>
    <t>Average rate of waste processing/disposal (kgCO2e/kg of waste)</t>
  </si>
  <si>
    <t>Percentage of materials to be landfilled (%)</t>
  </si>
  <si>
    <t>C3-C4 factor (kgCO2e/kg of waste)</t>
  </si>
  <si>
    <t>sub-module A5.2</t>
  </si>
  <si>
    <t>Diesel energy content (MJ/l) x carbon factor (kgCO2e/MJ)</t>
  </si>
  <si>
    <t>sub-module A5.3</t>
  </si>
  <si>
    <t>Waste rate</t>
  </si>
  <si>
    <t>Reported per component in the previous sheet</t>
  </si>
  <si>
    <t>COMPRESSED EARTH BLOCKS (CEB)</t>
  </si>
  <si>
    <t>kg CO2e/kg</t>
  </si>
  <si>
    <t>embodied carbon</t>
  </si>
  <si>
    <t>Fernandes et al. (2019)</t>
  </si>
  <si>
    <t>average</t>
  </si>
  <si>
    <t>kgCO2e/kg</t>
  </si>
  <si>
    <t>Mateus et al. (2019)</t>
  </si>
  <si>
    <t>stdev</t>
  </si>
  <si>
    <t>Pereira et al. (2017)</t>
  </si>
  <si>
    <t>RAMMED EARTH</t>
  </si>
  <si>
    <t>CERAMIC WALL TILES</t>
  </si>
  <si>
    <t>product</t>
  </si>
  <si>
    <t>website</t>
  </si>
  <si>
    <t>valid until</t>
  </si>
  <si>
    <t>AENOR</t>
  </si>
  <si>
    <t>Tiles</t>
  </si>
  <si>
    <t>https://www.en.aenor.com/Producto_DAP_pdf/GlobalEPD_002_043_ESP.pdf</t>
  </si>
  <si>
    <t>Spain</t>
  </si>
  <si>
    <t>kgCO2e/m2</t>
  </si>
  <si>
    <t>Porcelain tiles</t>
  </si>
  <si>
    <t>https://www.en.aenor.com/Producto_DAP_pdf/DAP_Grespania_002-044%20BIa%20ENG.pdf</t>
  </si>
  <si>
    <t>Porous tiles</t>
  </si>
  <si>
    <t>https://www.en.aenor.com/Producto_DAP_pdf/DAP_Grespania_002-045%20BIII%20ENG.pdf</t>
  </si>
  <si>
    <t>Tile</t>
  </si>
  <si>
    <t>https://www.en.aenor.com/Producto_DAP_pdf/DAP%20ROCERSA_BIII_ENG.pdf</t>
  </si>
  <si>
    <t>Ceramic tiles, porcelain stoneware</t>
  </si>
  <si>
    <t>https://www.en.aenor.com/Producto_DAP_pdf/GlobalEPD_002_013_r1_ESP.pdf</t>
  </si>
  <si>
    <t>Ceramic tiles, glazed stoneware</t>
  </si>
  <si>
    <t>https://www.en.aenor.com/Producto_DAP_pdf/GlobalEPD_002_014_ESP.pdf</t>
  </si>
  <si>
    <t>https://www.en.aenor.com/Producto_DAP_pdf/GlobalEPD_002_015_ESP.pdf</t>
  </si>
  <si>
    <t>Ceramic tiles, tiles</t>
  </si>
  <si>
    <t>https://www.en.aenor.com/Producto_DAP_pdf/GlobalEPD_002_016_ESP.pdf</t>
  </si>
  <si>
    <t>https://www.en.aenor.com/Producto_DAP_pdf/GlobalEPD_002_017_r1_ESP.pdf</t>
  </si>
  <si>
    <t>https://www.en.aenor.com/Producto_DAP_pdf/GlobalEPD_002_018_ESP.pdf</t>
  </si>
  <si>
    <t>https://www.en.aenor.com/Producto_DAP_pdf/GlobalEPD_002_019_ESP.pdf</t>
  </si>
  <si>
    <t>https://www.en.aenor.com/Producto_DAP_pdf/GlobalEPD_002_020_ESP.pdf</t>
  </si>
  <si>
    <t>https://www.en.aenor.com/Producto_DAP_pdf/GlobalEPD_002_021_r1_ESP.pdf</t>
  </si>
  <si>
    <t>https://www.en.aenor.com/Producto_DAP_pdf/GlobalEPD_002_022_ESP.pdf</t>
  </si>
  <si>
    <t>https://www.en.aenor.com/Producto_DAP_pdf/GlobalEPD_002_023_ESP.pdf</t>
  </si>
  <si>
    <t>https://www.en.aenor.com/Producto_DAP_pdf/GlobalEPD_002_024_ESP.pdf</t>
  </si>
  <si>
    <t>https://www.en.aenor.com/Producto_DAP_pdf/GlobalEPD_002_025_r1_ESP.pdf</t>
  </si>
  <si>
    <t>https://www.en.aenor.com/Producto_DAP_pdf/GlobalEPD_002_026_ESP.pdf</t>
  </si>
  <si>
    <t>https://www.en.aenor.com/Producto_DAP_pdf/GlobalEPD_002_027_ESP.pdf</t>
  </si>
  <si>
    <t>https://www.en.aenor.com/Producto_DAP_pdf/GlobalEPD_002_028_ESP.pdf</t>
  </si>
  <si>
    <t>https://www.en.aenor.com/Producto_DAP_pdf/GlobalEPD_002_029_r1_ESP.pdf</t>
  </si>
  <si>
    <t>https://www.en.aenor.com/Producto_DAP_pdf/GlobalEPD_002_030_ESP.pdf</t>
  </si>
  <si>
    <t>https://www.en.aenor.com/Producto_DAP_pdf/GlobalEPD_002_031_ESP.pdf</t>
  </si>
  <si>
    <t>https://www.en.aenor.com/Producto_DAP_pdf/GlobalEPD_002_032_ESP.pdf</t>
  </si>
  <si>
    <t>https://www.en.aenor.com/Producto_DAP_pdf/GlobalEPD_002_033_r1_ESP.pdf</t>
  </si>
  <si>
    <t>https://www.en.aenor.com/Producto_DAP_pdf/GlobalEPD_002_034_ESP.pdf</t>
  </si>
  <si>
    <t>https://www.en.aenor.com/Producto_DAP_pdf/GlobalEPD_002_035_ESP.pdf</t>
  </si>
  <si>
    <t>https://www.en.aenor.com/Producto_DAP_pdf/GlobalEPD_002_036_ESP.pdf</t>
  </si>
  <si>
    <t>Ceramic tiles, porcelain tiles</t>
  </si>
  <si>
    <t>https://www.en.aenor.com/Producto_DAP_pdf/DAP_EQUIPE_002-050%20BIa_ENG.pdf</t>
  </si>
  <si>
    <t>Ceramic tiles, porous tiles</t>
  </si>
  <si>
    <t>https://www.en.aenor.com/Producto_DAP_pdf/DAP_EQUIPE_002-051%20BIII_ENG.pdf</t>
  </si>
  <si>
    <t>Ceramic tiles, porcelain stoneware tiles</t>
  </si>
  <si>
    <t>https://www.en.aenor.com/Producto_DAP_pdf/DAP%20MAINZU%20002-052%20BIa_ES.pdf</t>
  </si>
  <si>
    <t>Ceramic tiles, earthenware</t>
  </si>
  <si>
    <t>https://www.en.aenor.com/Producto_DAP_pdf/DAP%20MAINZU%20002-053%20BIII_EN.pdf</t>
  </si>
  <si>
    <t>https://www.en.aenor.com/Producto_DAP_pdf/GlobalEPD_002_037_r1_ENG.pdf</t>
  </si>
  <si>
    <t>https://www.en.aenor.com/Producto_DAP_pdf/VIVES%20AZULEJOS%20Y%20GRES%2c%20S.A.%20BIII_ENG.pdf</t>
  </si>
  <si>
    <t>https://www.en.aenor.com/Producto_DAP_pdf/ARCANA%20CERAMICA%2c%20S.A.%20BIII_ENG.pdf</t>
  </si>
  <si>
    <t>https://www.en.aenor.com/Producto_DAP_pdf/ARGENTA%20CERAMICA%2c%20S.L.%20BIII_EN.pdf</t>
  </si>
  <si>
    <t>https://www.en.aenor.com/Producto_DAP_pdf/GRUPO%20GRECO%20GRES%20INTERNACIONAL_S.A.%20AIa_en.pdf</t>
  </si>
  <si>
    <t>https://www.en.aenor.com/Producto_DAP_pdf/DAP%20ROCERSA_BIa_ENG.pdf</t>
  </si>
  <si>
    <t>Porcelain glazed tiles</t>
  </si>
  <si>
    <t>https://www.en.aenor.com/Producto_DAP_pdf/DAP%20GlobalEPD%20EN%2017160%20-%20008%20Azulejo%20BIII%20IN%20.pdf</t>
  </si>
  <si>
    <t>CENIA</t>
  </si>
  <si>
    <t>https://www.cenia.cz/wp-content/uploads/2023/05/certifikace-epd_cz_2022_fin.pdf</t>
  </si>
  <si>
    <t>Czech Republic</t>
  </si>
  <si>
    <t>DAPcons</t>
  </si>
  <si>
    <t>MEDIUM PORCELAIN STONEWARE (BIa)</t>
  </si>
  <si>
    <t>http://soda.dapcons.com:8080/showProcess.xhtml?uuid=31c501cc-6c04-4b2b-9e78-293da1e78d2f&amp;stock=default</t>
  </si>
  <si>
    <t>AZULEJO MEDIO (BIII)</t>
  </si>
  <si>
    <t>http://soda.dapcons.com:8080/datasetdetail/process.xhtml?uuid=74941025-5df7-412e-8014-b908795595e9&amp;version=00.01.000&amp;stock=default</t>
  </si>
  <si>
    <t>DAPhabitat</t>
  </si>
  <si>
    <t>https://daphabitat.pt/assets/Uploads/dap/pdfs/de3f8be6a9/DAP_GPP_LT_GresVidrado_2021_EN_final-MS.pdf</t>
  </si>
  <si>
    <t>https://daphabitat.pt/assets/Uploads/dap/pdfs/016e888987/DAP-012-2022_EN_Pavigres_1.pdf</t>
  </si>
  <si>
    <t>EcoPlatform/Dapcons</t>
  </si>
  <si>
    <t>Dry-pressed ceramic tile</t>
  </si>
  <si>
    <t>https://soda.dapcons.com/datasetdetail/process.xhtml?uuid=a04c59e0-6a9e-467f-916b-c887b48762f3&amp;version=00.02.000&amp;lang=en</t>
  </si>
  <si>
    <t>EcoPlatform/ecosmdp</t>
  </si>
  <si>
    <t>Ceramic Floor Tiles</t>
  </si>
  <si>
    <t>https://ecosmdp.eco-platform.org/datasetdetail/process.xhtml?uuid=10875a7e-806c-4d90-8fe0-868e47e91b36&amp;version=00.00.013&amp;lang=en</t>
  </si>
  <si>
    <t>EcoPlatform/Environdec</t>
  </si>
  <si>
    <t>CERAMIC TILES OF MEDIUM SIZE BIII TYPE GLAZED Production in Orel</t>
  </si>
  <si>
    <t>https://data.environdec.com/datasetdetail/process.xhtml?uuid=946efb0b-8a9a-4294-9a19-1b7f23deff87&amp;version=00.00.037&amp;lang=en</t>
  </si>
  <si>
    <t>Russia</t>
  </si>
  <si>
    <t>CERAMIC TILES OF MEDIUM SIZE BIa TYPE GLAZED Production in Orel</t>
  </si>
  <si>
    <t>https://data.environdec.com/datasetdetail/process.xhtml?uuid=beb3ff6a-9068-4653-aac3-7e2bab785b0c&amp;version=00.00.035&amp;lang=en</t>
  </si>
  <si>
    <t>CERAMIC TILES OF MEDIUM SIZE BIa TYPE GLAZED Production in Malino</t>
  </si>
  <si>
    <t>https://data.environdec.com/datasetdetail/process.xhtml?uuid=480447b8-6945-4343-9f43-28d5268fc3a0&amp;version=00.00.031&amp;lang=en</t>
  </si>
  <si>
    <t>CERAMIC TILES OF MEDIUM SIZE BIa TYPE UNGLAZED Production in Malino</t>
  </si>
  <si>
    <t>https://data.environdec.com/datasetdetail/process.xhtml?uuid=2609eb24-4ccc-41af-8e0f-3079f619f1e2&amp;version=00.00.033&amp;lang=enn</t>
  </si>
  <si>
    <t>EcoPlatform/EPD Italy</t>
  </si>
  <si>
    <t>https://node.epditaly.it/datasetdetail/process.xhtml?uuid=c749dc16-a727-433d-97cb-57262dd5d87a&amp;version=00.00.026&amp;lang=en</t>
  </si>
  <si>
    <t>Italy</t>
  </si>
  <si>
    <t>applicable to Europe, but production in Italy</t>
  </si>
  <si>
    <t>https://node.epditaly.it/datasetdetail/process.xhtml?uuid=616ecdaf-7849-4955-a2f8-c213c3324be2&amp;version=00.00.026&amp;lang=en</t>
  </si>
  <si>
    <t>https://node.epditaly.it/datasetdetail/process.xhtml?uuid=eb08b38b-83db-4684-801e-a0299c828fcb&amp;version=00.00.025&amp;lang=en</t>
  </si>
  <si>
    <t>https://node.epditaly.it/datasetdetail/process.xhtml?uuid=a5b30dbe-9b5b-4b73-b28f-86c7a10e6242&amp;version=00.00.026&amp;lang=en</t>
  </si>
  <si>
    <t>https://node.epditaly.it/datasetdetail/process.xhtml?uuid=c1a9158c-d3a9-41f5-b7c2-5fe454e4f014&amp;version=00.00.025&amp;lang=en</t>
  </si>
  <si>
    <t>Porcelain stoneware ceramic tiles</t>
  </si>
  <si>
    <t>https://node.epditaly.it/datasetdetail/process.xhtml?uuid=9ba3d1db-84fb-4dec-b3b0-af8f3e762539&amp;version=00.00.036&amp;lang=en</t>
  </si>
  <si>
    <t>https://node.epditaly.it/datasetdetail/process.xhtml?uuid=35c5f24a-b935-4441-add2-cef5e1ebf1ac&amp;version=00.00.028&amp;lang=en</t>
  </si>
  <si>
    <t>https://node.epditaly.it/datasetdetail/process.xhtml?uuid=2de55445-2d1d-4037-baa2-110f132c3d9e&amp;version=00.03.000&amp;lang=en</t>
  </si>
  <si>
    <t>slabs 12mm+</t>
  </si>
  <si>
    <t>https://node.epditaly.it/datasetdetail/process.xhtml?uuid=131ecb28-0bcd-4c5d-8a9a-e2f18a819960&amp;version=00.03.000&amp;lang=en</t>
  </si>
  <si>
    <t>slabs 20mm+</t>
  </si>
  <si>
    <t>https://node.epditaly.it/datasetdetail/process.xhtml?uuid=73fb6f26-13d7-496c-bc72-eb99fe42528f&amp;version=00.03.000&amp;lang=en</t>
  </si>
  <si>
    <t>3mm</t>
  </si>
  <si>
    <t>https://node.epditaly.it/datasetdetail/process.xhtml?uuid=e912eeca-4060-4fe6-8cbb-f35b1272a0a0&amp;version=00.03.000&amp;lang=en</t>
  </si>
  <si>
    <t>3mm+</t>
  </si>
  <si>
    <t>https://node.epditaly.it/datasetdetail/process.xhtml?uuid=6746751e-4299-48b2-930c-d5beb7a202e4&amp;version=00.03.000&amp;lang=en</t>
  </si>
  <si>
    <t>5mm</t>
  </si>
  <si>
    <t>https://node.epditaly.it/datasetdetail/process.xhtml?uuid=1d8f36aa-c86c-48ba-90ba-795ed8cbd876&amp;version=00.03.000&amp;lang=en</t>
  </si>
  <si>
    <t>5mm+</t>
  </si>
  <si>
    <t>EcoPlatform/IBU</t>
  </si>
  <si>
    <t>Italian Ceramic Tiles</t>
  </si>
  <si>
    <t>https://ibudata.lca-data.com/datasetdetail/process.xhtml?uuid=98a6e52b-6e12-4542-afa7-371740748685&amp;version=00.01.000&amp;stock=PUBLIC&amp;lang=en</t>
  </si>
  <si>
    <t>EPD International</t>
  </si>
  <si>
    <t>Stoneware extruded tiles</t>
  </si>
  <si>
    <t>https://api.environdec.com/api/v1/EPDLibrary/Files/ccef3aaa-c7ac-451c-c264-08da3724454d/Data</t>
  </si>
  <si>
    <t>Porcelain stoneware tiles</t>
  </si>
  <si>
    <t>https://api.environdec.com/api/v1/EPDLibrary/Files/08e8581b-33e7-4738-566c-08da12da9675/Data</t>
  </si>
  <si>
    <t>Glazed stoneware tiles</t>
  </si>
  <si>
    <t>https://api.environdec.com/api/v1/EPDLibrary/Files/5fce72b4-37f2-4f47-566a-08da12da9675/Data</t>
  </si>
  <si>
    <t>EPD LCA database</t>
  </si>
  <si>
    <t>https://data.lcadatabase.com/datasetdetail/process.xhtml?uuid=2610f976-9424-4a8c-b92e-10b865781526</t>
  </si>
  <si>
    <t>https://data.lcadatabase.com/datasetdetail/process.xhtml?uuid=52c70755-82ae-4f2e-9df3-d095060e8342</t>
  </si>
  <si>
    <t>Ceramic porcelain stoneware tiles</t>
  </si>
  <si>
    <t>https://data.lcadatabase.com/datasetdetail/process.xhtml?uuid=7fb38fa8-07f8-4d92-a4f6-0f80f22fae85</t>
  </si>
  <si>
    <t>https://data.lcadatabase.com/datasetdetail/process.xhtml?uuid=f195d9eb-a403-43a2-868b-868bf4b4daed</t>
  </si>
  <si>
    <t>https://data.lcadatabase.com/datasetdetail/process.xhtml?uuid=7303466d-0c5d-45a8-9c7b-d985bc4833b4</t>
  </si>
  <si>
    <t>https://data.lcadatabase.com/datasetdetail/process.xhtml?uuid=c1ca31e4-fcfc-45b9-bec2-27e398d7412aa</t>
  </si>
  <si>
    <t>https://data.lcadatabase.com/datasetdetail/process.xhtml?uuid=425c74f3-0c17-4c74-a065-31e406ff69f44</t>
  </si>
  <si>
    <t>https://data.lcadatabase.com/datasetdetail/process.xhtml?uuid=e64612b4-5c1b-48ef-b3ac-11f80be1c0fd</t>
  </si>
  <si>
    <t>Ceramic Wall Tiles</t>
  </si>
  <si>
    <t>https://data.lcadatabase.com/datasetdetail/process.xhtml?uuid=017be176-9533-4474-af6e-fc535799175ff</t>
  </si>
  <si>
    <t>https://data.lcadatabase.com/datasetdetail/process.xhtml?uuid=3660292c-9ed0-4fd9-b196-bf0c21bb0b7a</t>
  </si>
  <si>
    <t>Turkey</t>
  </si>
  <si>
    <t>Coverlam ceramic tiles</t>
  </si>
  <si>
    <t>https://data.lcadatabase.com/datasetdetail/process.xhtml?uuid=38d59e7f-7de5-415d-8f5e-6086c3cf67cc</t>
  </si>
  <si>
    <t>https://data.lcadatabase.com/datasetdetail/process.xhtml?uuid=54cf70cb-bdcd-490c-ab1a-9498c83cbe3e</t>
  </si>
  <si>
    <t>Spanish ceramic tiles</t>
  </si>
  <si>
    <t>https://data.lcadatabase.com/datasetdetail/process.xhtml?uuid=06369e1c-17c6-4fd3-95ef-1a7ed8fb71bc</t>
  </si>
  <si>
    <t>Ceramic extruded stoneware tiles (25x25)</t>
  </si>
  <si>
    <t>Ceramic extruded stoneware tiles (33x33)</t>
  </si>
  <si>
    <t>https://data.lcadatabase.com/datasetdetail/process.xhtml?uuid=e7290f94-f47a-414b-9b49-215ed435b15c</t>
  </si>
  <si>
    <t>Ceramic porcelain tiles</t>
  </si>
  <si>
    <t>https://data.lcadatabase.com/datasetdetail/process.xhtml?uuid=70663476-3279-403e-9b51-12bd1ed12e12</t>
  </si>
  <si>
    <t>https://data.lcadatabase.com/datasetdetail/process.xhtml?uuid=b2b1d39c-706f-4266-882b-575a503e6aac</t>
  </si>
  <si>
    <t>Glazed ceramic tiles (MAX)</t>
  </si>
  <si>
    <t>https://data.lcadatabase.com/datasetdetail/process.xhtml?uuid=0d1541ba-3a85-4047-9b01-267757cae689</t>
  </si>
  <si>
    <t>Glazed ceramic tiles (MIN)</t>
  </si>
  <si>
    <t>https://data.lcadatabase.com/datasetdetail/process.xhtml?uuid=00ea9713-d4be-4d7a-8be6-371821257743</t>
  </si>
  <si>
    <t>Porcelain ceramic tiles</t>
  </si>
  <si>
    <t>https://data.lcadatabase.com/datasetdetail/process.xhtml?uuid=d45629ef-b80e-4795-9e6a-4b5994b0e126</t>
  </si>
  <si>
    <t>EPD Turkey</t>
  </si>
  <si>
    <t>Wall tile</t>
  </si>
  <si>
    <t>https://epd.dijitalpanel.site/Upload/epdturkey.com/Products/Images/64db7b9f8aae4-EN%20S-P-06761_Construction_Hitit%20Seramik_Wall%20Tile_EN_EPDTurkey.pdf</t>
  </si>
  <si>
    <t>https://epd.dijitalpanel.site/Upload/epdturkey.com/Products/Images/64db2f6d784e2-EN%20S-P-04821_Construction_Yurtbay_Wall%20Tile_EN_EPDTurkey.pdf</t>
  </si>
  <si>
    <t>https://epd.dijitalpanel.site/Upload/epdturkey.com/Products/Images/64db533ae2a0a-EN%20S-P-04102_Construction_Graniser_Wall%20Tiles_EN_EPDTurkey.pdf</t>
  </si>
  <si>
    <t>https://epd.dijitalpanel.site/Upload/epdturkey.com/Products/Images/64ca48223426a-S-P-00873_Construction_WallTile_Kaleseramik_EN_EPDTurkey.pdf</t>
  </si>
  <si>
    <t>Porcelain Tiles</t>
  </si>
  <si>
    <t>https://epd.dijitalpanel.site/Upload/epdturkey.com/Products/Images/64ca494c883da-S-P-00874_Construction_PorcelainTile_Kaleseramik_EN_EPDTurkey.pdf</t>
  </si>
  <si>
    <t>https://epd.dijitalpanel.site/Upload/epdturkey.com/Products/Images/64ca45f9ec76b-S-P-00872_Construction_FloorTile_Kaleseramik_EN_EPDTurkey.pdf</t>
  </si>
  <si>
    <t>EPD-Hub</t>
  </si>
  <si>
    <t>https://manage.epdhub.com</t>
  </si>
  <si>
    <t>UK</t>
  </si>
  <si>
    <t>IBU</t>
  </si>
  <si>
    <t>Porcelain tile</t>
  </si>
  <si>
    <t>https://epd-online.com/EmbeddedEpdList/Detail?id=12415</t>
  </si>
  <si>
    <t>https://epd-online.com/EmbeddedEpdList/Detail?id=12416</t>
  </si>
  <si>
    <t>Ceramic tiles and slabs</t>
  </si>
  <si>
    <t>https://epd-online.com/EmbeddedEpdList/Detail?id=15618</t>
  </si>
  <si>
    <t>Germany</t>
  </si>
  <si>
    <t>https://epd-online.com/EmbeddedEpdList/Detail?id=16450</t>
  </si>
  <si>
    <t>MRPI</t>
  </si>
  <si>
    <t>Mosa wall tile</t>
  </si>
  <si>
    <t>https://www.mrpi.nl/epd-files/epd/1.1.00264.2022_MRPI-EPD_Mosa%20wall%20tile_FINAL.pdf</t>
  </si>
  <si>
    <t>Netherlands</t>
  </si>
  <si>
    <t>OpenDAP</t>
  </si>
  <si>
    <t>Stoneware ceramic product</t>
  </si>
  <si>
    <t>https://node-opendap-es.translate.goog/datasetdetail/process.xhtml?uuid=21dcf5ff-ae97-4188-b47e-154487c62c7a&amp;version=00.00.018&amp;stock=default&amp;_x_tr_sl=auto&amp;_x_tr_tl=en&amp;_x_tr_hl=en&amp;_x_tr_pto=wapp</t>
  </si>
  <si>
    <t>METAL LAY IN TILE CEILINGS</t>
  </si>
  <si>
    <t>EcoPlatform/EPDItaly</t>
  </si>
  <si>
    <t>Metal ceilings: steel panels and systems</t>
  </si>
  <si>
    <t>https://node.epditaly.it/datasetdetail/process.xhtml?uuid=3c5bc379-52c4-4c33-92c8-a05ab0762835&amp;version=00.03.000&amp;lang=en</t>
  </si>
  <si>
    <t>Galvanized steel suspended ceiling panel</t>
  </si>
  <si>
    <t>https://ibudata.lca-data.com/datasetdetail/process.xhtml?uuid=db56f54d-1f0e-47a4-9d64-91767b016c91&amp;version=00.01.000&amp;stock=PUBLIC&amp;lang=en</t>
  </si>
  <si>
    <t>Mesh Ceiling Membranes (1 mm)</t>
  </si>
  <si>
    <t>https://ibudata.lca-data.com/datasetdetail/process.xhtml?uuid=f4ed9f09-260c-47f6-9997-b5169adadf03&amp;version=00.05.000&amp;stock=PUBLIC&amp;lang=en</t>
  </si>
  <si>
    <t>Mesh Ceiling Membranes (1.5 mm)</t>
  </si>
  <si>
    <t>https://ibudata.lca-data.com/datasetdetail/process.xhtml?uuid=092a66fb-611b-479c-b434-5fae1aaabb3e&amp;version=00.05.000&amp;stock=PUBLIC&amp;lang=en</t>
  </si>
  <si>
    <t>Mesh Ceiling Tiles &amp; Panels (1 mm)</t>
  </si>
  <si>
    <t>https://ibudata.lca-data.com/datasetdetail/process.xhtml?uuid=7eba0cf5-efd0-44c9-bc03-3b5cc304b5f7&amp;version=00.02.000&amp;stock=PUBLIC&amp;lang=en</t>
  </si>
  <si>
    <t>Mesh Ceiling Tiles &amp; Panels (1,5 mm)</t>
  </si>
  <si>
    <t>https://ibudata.lca-data.com/datasetdetail/process.xhtml?uuid=9a0cee45-9e87-4ebd-ba21-9d47b65dd882&amp;version=00.02.000&amp;stock=PUBLIC&amp;lang=en</t>
  </si>
  <si>
    <t>Metal Ceiling Membranes (0.5 mm, with acoustic fleece)</t>
  </si>
  <si>
    <t>https://ibudata.lca-data.com/datasetdetail/process.xhtml?uuid=5850e9d0-3454-4ba9-8661-88b465720ed6&amp;version=00.05.000&amp;stock=PUBLIC&amp;lang=en</t>
  </si>
  <si>
    <t>Europe (Austria, UK)</t>
  </si>
  <si>
    <t>Metal Ceiling Membranes (0.5 mm, without acoustic infill)</t>
  </si>
  <si>
    <t>https://ibudata.lca-data.com/datasetdetail/process.xhtml?uuid=f1671433-b3ff-4932-8168-11c1b5783c6f&amp;version=00.04.000&amp;stock=PUBLIC&amp;lang=en</t>
  </si>
  <si>
    <t>Metal Ceiling Membranes (0.6 mm, with acoustic fleece)</t>
  </si>
  <si>
    <t>https://ibudata.lca-data.com/datasetdetail/process.xhtml?uuid=c30a62cf-8dba-4e73-af10-e23195c93c27&amp;version=00.04.000&amp;stock=PUBLIC&amp;lang=en</t>
  </si>
  <si>
    <t>Metal Ceiling Membranes (0.6 mm, without acoustic infill)</t>
  </si>
  <si>
    <t>https://ibudata.lca-data.com/datasetdetail/process.xhtml?uuid=f56d9fdc-d979-4c70-b81a-e1d8623d8132&amp;version=00.05.000&amp;stock=PUBLIC&amp;lang=en</t>
  </si>
  <si>
    <t>Metal Ceiling Membranes (0.7 mm, with acoustic fleece)</t>
  </si>
  <si>
    <t>https://ibudata.lca-data.com/datasetdetail/process.xhtml?uuid=ffae3994-e0e3-4ef7-9190-624f34b8d971&amp;version=00.05.000&amp;stock=PUBLIC&amp;lang=en</t>
  </si>
  <si>
    <t>Metal Ceiling Membranes (0.7 mm, without acoustic infill)</t>
  </si>
  <si>
    <t>https://ibudata.lca-data.com/datasetdetail/process.xhtml?uuid=59debe2f-35da-4116-8d16-3cb8a1ec1de6&amp;version=00.04.000&amp;stock=PUBLIC&amp;lang=en</t>
  </si>
  <si>
    <t>Metal Ceiling Membranes (1 mm, with acoustic fleece)</t>
  </si>
  <si>
    <t>https://ibudata.lca-data.com/datasetdetail/process.xhtml?uuid=0bab722a-77b2-46e2-a32e-89dd32ffe24e&amp;version=00.06.000&amp;stock=PUBLIC&amp;lang=en</t>
  </si>
  <si>
    <t>Metal Ceiling Membranes (1 mm, without acoustic infill)</t>
  </si>
  <si>
    <t>https://ibudata.lca-data.com/datasetdetail/process.xhtml?uuid=7607c965-2352-4394-9afb-7764538c9be3&amp;version=00.05.000&amp;stock=PUBLIC&amp;lang=en</t>
  </si>
  <si>
    <t>Metal Ceiling Panels &amp; Baffles (0.7 mm, with acoustic fleece)</t>
  </si>
  <si>
    <t>https://ibudata.lca-data.com/datasetdetail/process.xhtml?uuid=373b5e70-413e-4940-9896-eaa211456d62&amp;version=00.02.000&amp;stock=PUBLIC&amp;lang=en</t>
  </si>
  <si>
    <t>Metal Ceiling Panels &amp; Baffles (0.7 mm, without acoustic infill)</t>
  </si>
  <si>
    <t>https://ibudata.lca-data.com/datasetdetail/process.xhtml?uuid=09f14961-a247-4cd8-94d9-71be817bab9b&amp;version=00.02.000&amp;stock=PUBLIC&amp;lang=en</t>
  </si>
  <si>
    <t>Metal Ceiling Panels &amp; Baffles (1 mm, with acoustic fleece)</t>
  </si>
  <si>
    <t>https://ibudata.lca-data.com/datasetdetail/process.xhtml?uuid=e880811f-f90f-472c-8257-7ad04cceec5f&amp;version=00.02.000&amp;stock=PUBLIC&amp;lang=en</t>
  </si>
  <si>
    <t>Metal Ceiling Panels &amp; Baffles (1 mm, without acoustic infill)</t>
  </si>
  <si>
    <t>https://ibudata.lca-data.com/datasetdetail/process.xhtml?uuid=f184aab3-aa3c-434e-9728-4d5a8e5cdd14&amp;version=00.02.000&amp;stock=PUBLIC&amp;lang=en</t>
  </si>
  <si>
    <t>Metal Ceiling System</t>
  </si>
  <si>
    <t>https://ibudata.lca-data.com/datasetdetail/process.xhtml?uuid=b58dbd43-6e4b-4b24-89c6-f8abf26a0753&amp;version=00.04.000&amp;stock=PUBLIC&amp;lang=en</t>
  </si>
  <si>
    <t>Denmark</t>
  </si>
  <si>
    <t>Metal Ceiling Tiles &amp; Panels (0.6 mm, with acoustic fleece)</t>
  </si>
  <si>
    <t>https://ibudata.lca-data.com/datasetdetail/process.xhtml?uuid=edab317d-6e11-44ad-a679-7af509d3f565&amp;version=00.02.000&amp;stock=PUBLIC&amp;lang=en</t>
  </si>
  <si>
    <t>Metal Ceiling Tiles &amp; Panels (0.6 mm, without acoustic infill)</t>
  </si>
  <si>
    <t>https://ibudata.lca-data.com/datasetdetail/process.xhtml?uuid=719759c9-a53d-46ca-ad3f-0f0efbde4d84&amp;version=00.02.000&amp;stock=PUBLIC&amp;lang=en</t>
  </si>
  <si>
    <t>Metal Ceiling Tiles (0.5 mm, with acoustic fleece)</t>
  </si>
  <si>
    <t>https://ibudata.lca-data.com/datasetdetail/process.xhtml?uuid=eebfc74f-5651-4d43-a2aa-f04b66ff8a4c&amp;version=00.03.000&amp;stock=PUBLIC&amp;lang=en</t>
  </si>
  <si>
    <t>Metal Ceiling Tiles (0.5 mm, without acoustic infill)</t>
  </si>
  <si>
    <t>https://ibudata.lca-data.com/datasetdetail/process.xhtml?uuid=dc0557ec-f724-4b61-b25d-38665cbad37b&amp;version=00.02.000&amp;stock=PUBLIC&amp;lang=en</t>
  </si>
  <si>
    <t>EPD Denmark</t>
  </si>
  <si>
    <t>Metal ceiling systems made of steel</t>
  </si>
  <si>
    <t>https://www.epddanmark.dk/media/4y3d0jsw/md-19003-en-dampa-aps-taim-e-v.pdf</t>
  </si>
  <si>
    <t>METAL CEILING SYSTEMS STEEL/ALUMINIUM, SMOOTH/PERFORATED</t>
  </si>
  <si>
    <t>https://api.environdec.com/api/v1/EPDLibrary/Files/075acc06-3096-494f-932e-db8eb3cf546a/Data</t>
  </si>
  <si>
    <t>panel Sicilia clip-in, steel</t>
  </si>
  <si>
    <t>panel Modena T24, steel</t>
  </si>
  <si>
    <t>panel Parma T15, steel</t>
  </si>
  <si>
    <t>panel Roma, steel</t>
  </si>
  <si>
    <t>panel Murano, steel</t>
  </si>
  <si>
    <t>panel Capri, steel</t>
  </si>
  <si>
    <t>stave Venezia, steel</t>
  </si>
  <si>
    <t>Integra Steel Ceiling System</t>
  </si>
  <si>
    <t>https://api.environdec.com/api/v1/EPDLibrary/Files/1d3b9fb8-cfbd-4042-530d-08dbd569605a/Dataa</t>
  </si>
  <si>
    <t>FALSE CEILING SYSTEMS AND EXTERNAL CLADDINGS MADE OF STEEL</t>
  </si>
  <si>
    <t>https://api.environdec.com/api/v1/EPDLibrary/Files/5be3727f-f5e0-4fc0-1669-08da0fd87809/Data</t>
  </si>
  <si>
    <t>INIES</t>
  </si>
  <si>
    <t>METALLIC CEILING IN POSTLAQUE FOLD BINS (excluding installation accessories)</t>
  </si>
  <si>
    <t>https://www.base-inies.fr/iniesV4/dist/infos-produit</t>
  </si>
  <si>
    <t>France</t>
  </si>
  <si>
    <t>metal</t>
  </si>
  <si>
    <t>METAL CEILING IN PRELAQUES FOLD BINS (excluding installation accessories)</t>
  </si>
  <si>
    <t>Gyptone® Activ'Air® Line 6 non-removable decorative and acoustic ceiling system with Isoconfort 35 60 mm</t>
  </si>
  <si>
    <t>Raised Floor System, Type NORTEC</t>
  </si>
  <si>
    <t>https://www.lindner-group.com/fileadmin/user_upload/intranet/service/green_building/upds/boden/epd-gm-b-001-nortec--en.pdf</t>
  </si>
  <si>
    <t>TARGA RAISED ACCESS FLOORING SYSTEMS –CALCIUM SULPHATE CORE from ASPEN</t>
  </si>
  <si>
    <t>https://api.environdec.com/api/v1/EPDLibrary/Files/c87447d3-3041-4ccf-5324-08dbd569605a/Data</t>
  </si>
  <si>
    <t>PLASTIC PIPES</t>
  </si>
  <si>
    <t>application</t>
  </si>
  <si>
    <t>POLYPROPYLENE (PP-R) AND POLYPROPYLENE WITH GLASS FIBER (PP- R+GF) HOT - COLD WATER PIPELINE SYSTEMS</t>
  </si>
  <si>
    <t>hot, cold water, heating system</t>
  </si>
  <si>
    <t>https://www.en.aenor.com/Producto_DAP_pdf/DAP%20Heliroma%20GEPD%20EN15804-016%20Final%20eng.pdf</t>
  </si>
  <si>
    <t>PP-R, PP-R+GF</t>
  </si>
  <si>
    <t>MULTILAYER TEMPERATURE RESISTANT POLYETHYLENE (PE-RT) PIPELINE SYSTEMS AND POLYPHENYLSULPHONE (PPSU) FITTINGS FOR HOT - COLD WATER</t>
  </si>
  <si>
    <t>https://www.en.aenor.com/Producto_DAP_pdf/DAP%20Heliroma%20GEPD%20EN15804-017%20Final%20eng.pdf</t>
  </si>
  <si>
    <t>PE-RT, PPSU</t>
  </si>
  <si>
    <t>CO2DATA</t>
  </si>
  <si>
    <t>Drinking water pipe, PEX</t>
  </si>
  <si>
    <t>potable water</t>
  </si>
  <si>
    <t>https://co2data.fi/rakentaminen/#en_id7000000465</t>
  </si>
  <si>
    <t>Finland</t>
  </si>
  <si>
    <t>PEX</t>
  </si>
  <si>
    <t>EcoPlatform/BRE</t>
  </si>
  <si>
    <t>1 m of blue / green pipe S / MF / MF-RP piping system</t>
  </si>
  <si>
    <t>heating and cooling</t>
  </si>
  <si>
    <t>https://www.greenbooklive.com/pdfdocs/en15804epd/BREGENEPD000475.pdf</t>
  </si>
  <si>
    <t>PP-R and PP-RCT</t>
  </si>
  <si>
    <t>acronym</t>
  </si>
  <si>
    <t>meaning</t>
  </si>
  <si>
    <t>https://www.greenbooklive.com/pdfdocs/en15804epd/BREGENEPD000478.pdf</t>
  </si>
  <si>
    <t>PP-R/PPRC</t>
  </si>
  <si>
    <t xml:space="preserve">polypropylene random copolymer
        </t>
  </si>
  <si>
    <t>1 m of red pipe MF / MF-RP piping system</t>
  </si>
  <si>
    <t>sprinkler</t>
  </si>
  <si>
    <t>https://www.greenbooklive.com/pdfdocs/en15804epd/BREGENEPD000476.pdf</t>
  </si>
  <si>
    <t>GF</t>
  </si>
  <si>
    <t>glass fibers</t>
  </si>
  <si>
    <t>EcoPlatform/EPD International</t>
  </si>
  <si>
    <t>LK PAL Universal Pipe A Naked &amp; Pipe in Pipe</t>
  </si>
  <si>
    <t>heating and cooling, potable water</t>
  </si>
  <si>
    <t>https://data.environdec.com/datasetdetail/process.xhtml?uuid=dab777c7-2a8e-4ec3-0a1b-08da54e30b17&amp;version=07.00.015&amp;lang=en</t>
  </si>
  <si>
    <t>PE-RT, aluminium, PE-RT</t>
  </si>
  <si>
    <t>PE-RT</t>
  </si>
  <si>
    <t>polyethylene of raised temperature</t>
  </si>
  <si>
    <t>LK PAL Universal Pipe A Naked/Pipe in Pipe/Insulated/Conduit &amp; Insulated</t>
  </si>
  <si>
    <t>https://data.environdec.com/datasetdetail/process.xhtml?uuid=b7ecaeef-6f14-4eea-0a2c-08da54e30b17&amp;version=07.00.015&amp;lang=en</t>
  </si>
  <si>
    <t>PPSU</t>
  </si>
  <si>
    <t>polyphenylsulfone</t>
  </si>
  <si>
    <t>PPRC Pipes</t>
  </si>
  <si>
    <t>https://data.environdec.com/datasetdetail/process.xhtml?uuid=fbe7c563-55b5-44ac-7277-08da598ce856&amp;version=07.00.015&amp;lang=en</t>
  </si>
  <si>
    <t>PPRC</t>
  </si>
  <si>
    <t>PP-RCT</t>
  </si>
  <si>
    <t>polypropylene random copolymer with modified crystallinity and temperature resistance</t>
  </si>
  <si>
    <t>Polyethylene Pressure Pipe</t>
  </si>
  <si>
    <t>https://data.environdec.com/datasetdetail/process.xhtml?uuid=d0038193-f540-40a6-72a5-08da598ce856&amp;version=07.00.015&amp;lang=en</t>
  </si>
  <si>
    <t>PE</t>
  </si>
  <si>
    <t>POLYETHYLENE PIPE FOR WATER, GAS AND INDUSTRIAL APPLICATIONS TYPE “POLIETILENETUBI”</t>
  </si>
  <si>
    <t>water, gas and industrial fluids under pressure</t>
  </si>
  <si>
    <t>https://node.epditaly.it/datasetdetail/process.xhtml?uuid=10331b0b-f037-4713-9315-ed8b69e479d4&amp;version=00.03.000&amp;lang=en</t>
  </si>
  <si>
    <t>HDPE, 100 m of 110 mm SDR 17 pipe, 218 kg</t>
  </si>
  <si>
    <t>POLYETHYLENE PIPING SYSTEM FOR WATER, GAS AND INDUSTRIAL APPLICATIONS TYPE “POLIETILENETUBI” AND ELOFIT</t>
  </si>
  <si>
    <t>https://node.epditaly.it/datasetdetail/process.xhtml?uuid=0f3ae6eb-563f-471b-810a-a018cec5bc34&amp;version=00.00.028&amp;lang=en</t>
  </si>
  <si>
    <t>HDPE</t>
  </si>
  <si>
    <t>high-density polyethylene</t>
  </si>
  <si>
    <t>EcoPlatform/EPD Norge</t>
  </si>
  <si>
    <t>Flowtite Pressure Pipe FP2.1 with coupling DN450-700, PN1-6, SN5000-10000</t>
  </si>
  <si>
    <t>penstocks, pressure mains, water supply, and cooling water</t>
  </si>
  <si>
    <t>https://epdnorway.lca-data.com/datasetdetail/process.xhtml?uuid=4461c54f-e2ce-4e75-acec-fe8cfa115c8b&amp;version=00.03.001&amp;stock=PUBLIC&amp;lang=en</t>
  </si>
  <si>
    <t>polyester resin, sand, glass</t>
  </si>
  <si>
    <t>PVC</t>
  </si>
  <si>
    <t>polyvinyl chloride</t>
  </si>
  <si>
    <t>Flowtite Pressure Pipe FP2.1 with coupling DN800-2000, PN1&amp;6, SN5000&amp;10000</t>
  </si>
  <si>
    <t>https://epdnorway.lca-data.com/datasetdetail/process.xhtml?uuid=c38eb024-3489-44d0-97b6-5016fb3566c4&amp;version=00.03.001&amp;stock=PUBLIC&amp;lang=en</t>
  </si>
  <si>
    <t>polyethylene</t>
  </si>
  <si>
    <t>Flowtite Pressure Pipe FP2.1 with coupling DN1200-4000, PN10, SN5000</t>
  </si>
  <si>
    <t>https://epdnorway.lca-data.com/datasetdetail/process.xhtml?uuid=c4219f63-44b0-4e42-9a7b-a53d2465c625&amp;version=00.03.001&amp;stock=PUBLIC&amp;lang=en</t>
  </si>
  <si>
    <t>PP</t>
  </si>
  <si>
    <t>polypropylene</t>
  </si>
  <si>
    <t>Flowtite Pressure Pipe FP2.1 with coupling DN2100-3800, PN1&amp;6, SN5000&amp;10000</t>
  </si>
  <si>
    <t>https://epdnorway.lca-data.com/datasetdetail/process.xhtml?uuid=c50fea97-7818-47ce-9281-2cc26014001a&amp;version=00.03.001&amp;stock=PUBLIC&amp;lang=en</t>
  </si>
  <si>
    <t>PB</t>
  </si>
  <si>
    <t>polybutylene</t>
  </si>
  <si>
    <t>Flowtite Pressure Pipe FP2.1 with coupling DN300-400, PN1-6, SN5000-10000 and DN300-400, PN10, SN10000</t>
  </si>
  <si>
    <t>https://epdnorway.lca-data.com/datasetdetail/process.xhtml?uuid=ca9e0e3f-de12-4b27-928c-5803d97bf075&amp;version=00.04.001&amp;stock=PUBLIC&amp;lang=en</t>
  </si>
  <si>
    <t>cross-linked polyethylene</t>
  </si>
  <si>
    <t>Flowtite Pressure Pipe FP2.1 with coupling DN300-500, PN10, SN5000</t>
  </si>
  <si>
    <t>https://epdnorway.lca-data.com/datasetdetail/process.xhtml?uuid=406f7e38-81e9-4cd3-8c02-adcac8c5e45a&amp;version=00.03.001&amp;stock=PUBLIC&amp;lang=en</t>
  </si>
  <si>
    <t>GRP</t>
  </si>
  <si>
    <t>glassfiber reinforced plastic</t>
  </si>
  <si>
    <t>Flowtite Pressure Pipe FP2.1 with coupling DN300-500, PN16, SN5000</t>
  </si>
  <si>
    <t>https://epdnorway.lca-data.com/datasetdetail/process.xhtml?uuid=f84120c0-dadb-4a5f-bcdc-c483c9ec9ff9&amp;version=00.03.001&amp;stock=PUBLIC&amp;lang=en</t>
  </si>
  <si>
    <t>ABS</t>
  </si>
  <si>
    <t>acrylonitrile Butadiene Styrene</t>
  </si>
  <si>
    <t>Flowtite Pressure Pipe FP2.1 with coupling DN300-600, PN16, SN10000</t>
  </si>
  <si>
    <t>https://epdnorway.lca-data.com/datasetdetail/process.xhtml?uuid=7ee6ad88-039b-466b-b819-682a1982ba72&amp;version=00.03.001&amp;stock=PUBLIC&amp;lang=en</t>
  </si>
  <si>
    <t>GFK/GFRP</t>
  </si>
  <si>
    <t>glass-fiber reinforced plastic</t>
  </si>
  <si>
    <t>Flowtite Pressure Pipe FP2.1 with coupling DN450-600, PN10, SN10000</t>
  </si>
  <si>
    <t>https://epdnorway.lca-data.com/datasetdetail/process.xhtml?uuid=592da8b5-de5c-488e-8e2d-bf123945b5bc&amp;version=00.03.001&amp;stock=PUBLIC&amp;lang=en</t>
  </si>
  <si>
    <t>Flowtite Pressure Pipe FP2.1 with coupling DN600-1200, PN10, SN5000</t>
  </si>
  <si>
    <t>https://epdnorway.lca-data.com/datasetdetail/process.xhtml?uuid=1e35d067-7242-423a-af8a-d718df8783ee&amp;version=00.03.001&amp;stock=PUBLIC&amp;lang=en</t>
  </si>
  <si>
    <t>Flowtite Pressure Pipe FP2.1 with coupling DN600-3400, PN16, SN5000</t>
  </si>
  <si>
    <t>https://epdnorway.lca-data.com/datasetdetail/process.xhtml?uuid=8bab6010-5d46-472f-a28c-a676ce7ebeb4&amp;version=00.03.001&amp;stock=PUBLIC&amp;lang=en</t>
  </si>
  <si>
    <t>Flowtite Pressure Pipe FP2.1 with coupling DN700-3400, PN10, SN10000</t>
  </si>
  <si>
    <t>https://epdnorway.lca-data.com/datasetdetail/process.xhtml?uuid=091ee3ff-7a67-405a-8060-22f1a0ef89d9&amp;version=00.03.001&amp;stock=PUBLIC&amp;lang=enn</t>
  </si>
  <si>
    <t>Flowtite Pressure Pipe FP2.1 with coupling DN700-3400, PN16, SN10000</t>
  </si>
  <si>
    <t>https://epdnorway.lca-data.com/datasetdetail/process.xhtml?uuid=a1272267-206a-4b63-989a-afb6ea749e8a&amp;version=00.03.001&amp;stock=PUBLIC&amp;lang=en</t>
  </si>
  <si>
    <t>Flowtite Pressure Pipe FP2.1 with coupling DN500-3400, PN16, SN10000</t>
  </si>
  <si>
    <t>https://epdnorway.lca-data.com/datasetdetail/process.xhtml?uuid=b4b0f338-3d4e-4a11-85c9-5b87db51dad1&amp;version=00.03.001&amp;stock=PUBLIC&amp;lang=en</t>
  </si>
  <si>
    <t>Hobas Pressure Pipe, Filled (VO), Spigot coupling DN700-3600, PN6, SN20000</t>
  </si>
  <si>
    <t>pressure pipe</t>
  </si>
  <si>
    <t>https://epdnorway.lca-data.com/datasetdetail/process.xhtml?uuid=3354417f-b980-48ec-9db1-30e1cd018645&amp;version=00.03.001&amp;stock=PUBLIC&amp;lang=en</t>
  </si>
  <si>
    <t>Hobas Pressure Pipe, Unfilled (RO), Spigot-Coupling, DN1800-3600, PN6, SN12500-30000</t>
  </si>
  <si>
    <t>https://epdnorway.lca-data.com/datasetdetail/process.xhtml?uuid=be2d5880-f014-4a47-a771-927a24a1ca54&amp;version=00.03.001&amp;stock=PUBLIC&amp;lang=en</t>
  </si>
  <si>
    <t>Pipe Pressure Hobas, Spigot-Coupling DN200, PN2-8, SN10000-16000</t>
  </si>
  <si>
    <t>https://epdnorway.lca-data.com/datasetdetail/process.xhtml?uuid=45c4fa61-ef08-4cec-907d-85c1ff72d658&amp;version=00.03.001&amp;stock=PUBLIC&amp;lang=en</t>
  </si>
  <si>
    <t>Pipe Pressure Hobas, Spigot-Coupling DN500-3600, PN6, SN10000</t>
  </si>
  <si>
    <t>https://epdnorway.lca-data.com/datasetdetail/process.xhtml?uuid=298d39f6-da28-44f8-873c-64db25ae4f43&amp;version=00.03.001&amp;stock=PUBLIC&amp;lang=en</t>
  </si>
  <si>
    <t>PE100 RC Pressure pipes SDR 17</t>
  </si>
  <si>
    <t>pressure pipe, water supply</t>
  </si>
  <si>
    <t>https://epdnorway.lca-data.com/resource/datastocks/91413340-7bf0-4f88-a952-0f91cba685df/processes/d67ebaea-c946-4b4e-923b-708daece32be/epd?version=00.03.000</t>
  </si>
  <si>
    <t>PE100 RC Water Pressure pipes SDR 11</t>
  </si>
  <si>
    <t>https://epdnorway.lca-data.com/resource/datastocks/91413340-7bf0-4f88-a952-0f91cba685df/processes/dfd03514-38a2-4e5a-95c1-b625eb1d4144/epd?version=00.03.000</t>
  </si>
  <si>
    <t>Sweden</t>
  </si>
  <si>
    <t>PE100 RC Water Pressure pipes SDR 17</t>
  </si>
  <si>
    <t>https://epdnorway.lca-data.com/datasetdetail/process.xhtml?uuid=c9c9416f-97c3-49a8-8794-7ec06d581624&amp;version=00.03.000&amp;stock=PUBLIC&amp;lang=en</t>
  </si>
  <si>
    <t>PE100 RC Water Pressure pipes in coil SDR 11</t>
  </si>
  <si>
    <t>https://epdnorway.lca-data.com/datasetdetail/process.xhtml?uuid=6eb2fe34-da34-4dfb-aa56-1c585010f8fb&amp;version=00.03.000&amp;stock=PUBLIC&amp;lang=en</t>
  </si>
  <si>
    <t>EPD Norge</t>
  </si>
  <si>
    <t>AS+ Pipe LGY (low noise soil and waste solution)</t>
  </si>
  <si>
    <t>soil, waste</t>
  </si>
  <si>
    <t>https://epdnorway.lca-data.com/datasetdetail/process.xhtml?uuid=2511c42f-d76d-4668-8073-67c81dbdcd99&amp;version=00.03.001&amp;stock=PUBLIC&amp;lang=en</t>
  </si>
  <si>
    <t>Europe, Nordic countries</t>
  </si>
  <si>
    <t>PP Nordic Pipe</t>
  </si>
  <si>
    <t>https://epdnorway.lca-data.com/datasetdetail/process.xhtml?uuid=ed7f7acd-bb3a-4f99-80ba-f70274c5e2b7&amp;version=00.04.000&amp;stock=PUBLIC&amp;lang=en</t>
  </si>
  <si>
    <t>Flowtite Sewer Pipe FS3.0 with coupling DN300, PN1, SN10000</t>
  </si>
  <si>
    <t>acid resistance, sewer and storm water applications</t>
  </si>
  <si>
    <t>https://www.epd-norge.no/getfile.php/1321651-1637062227/EPDer/Byggevarer/Rørsystemer/NEPD-3245-1868_Flowtite-Sewer-Pipe-FS30-with-coupling---DN300--PN1--SN10000.pdf</t>
  </si>
  <si>
    <t>Flowtite Sewer Pipe FS3.0 with coupling DN350-700, PN1, SN10000</t>
  </si>
  <si>
    <t>https://www.epd-norge.no/getfile.php/1321645-1637062113/EPDer/Byggevarer/Rørsystemer/NEPD-3244-1869_Flowtite-Sewer-Pipe-FS30-with-coupling---DN350-700--PN1--SN10000.pdf</t>
  </si>
  <si>
    <t>Flowtite Sewer Pipe FS3.0 with coupling DN800-2400, PN1, SN10000</t>
  </si>
  <si>
    <t>https://www.epd-norge.no/getfile.php/1321618-1637061283/EPDer/Byggevarer/Rørsystemer/NEPD-3240-1866_Flowtite-Sewer-Pipe-FS30-with-coupling---DN800-2400--PN1--SN10000.pdf</t>
  </si>
  <si>
    <t xml:space="preserve">Flowtite Sewer Pipe FS3.0 with coupling DN800-3000, PN1, SN2500 &amp; 5000 </t>
  </si>
  <si>
    <t>https://www.epd-norge.no/getfile.php/1321612-1637061139/EPDer/Byggevarer/Rørsystemer/NEPD-3239-1873_Flowtite-Sewer-Pipe-FS30-with-coupling---DN800-3000--PN1--SN2500---5000.pdf</t>
  </si>
  <si>
    <t>Hobas Pipe Sewer, Spigot-Coupling DN500-750, PN1 SN5000</t>
  </si>
  <si>
    <t>acid resistance, sewer, drainage and storm water applications</t>
  </si>
  <si>
    <t>https://www.epd-norge.no/getfile.php/1322953-1646322771/EPDer/Byggevarer/Rørsystemer/NEPD-3384-2005_Hobas-Pipe-Sewer--Spigot-Coupling---DN500-750--PN1-SN5000.pdf</t>
  </si>
  <si>
    <t>Hobas Pipe Sewer, Spigot-Coupling DN800-1400, PN1 SN5000</t>
  </si>
  <si>
    <t>https://www.epd-norge.no/getfile.php/1322947-1646322656/EPDer/Byggevarer/Rørsystemer/NEPD-3383-2004_Hobas-Pipe-Sewer--Spigot-Coupling---DN800-1400--PN1-SN5000.pdf</t>
  </si>
  <si>
    <t>Hobas Sewer Pipe RO with FWC coupling DN1535-3600, PN1, SN10000</t>
  </si>
  <si>
    <t>sewer</t>
  </si>
  <si>
    <t>https://www.epd-norge.no/getfile.php/1321549-1637059660/EPDer/Byggevarer/Rørsystemer/NEPD-3228-1879_Hobas-Sewer-Pipe-RO-with-FWC-coupling---DN1535-3600--PN1--SN10000.pdf</t>
  </si>
  <si>
    <t>Hobas Sewer Pipe RO with FWC coupling DN250-350, PN1 &amp; PN6, SN10000</t>
  </si>
  <si>
    <t>https://www.epd-norge.no/getfile.php/1321564-1637059993/EPDer/Byggevarer/Rørsystemer/NEPD-3231-1876_Hobas-Sewer-Pipe-RO-with-FWC-coupling---DN250-350--PN1---PN6--SN10000.pdf</t>
  </si>
  <si>
    <t>Hobas Sewer Pipe RO with FWC coupling DN400-800, PN1 &amp; PN6, SN10000</t>
  </si>
  <si>
    <t>https://www.epd-norge.no/getfile.php/1321531-1637059312/EPDer/Byggevarer/Rørsystemer/NEPD-3225-1882_Hobas-Sewer-Pipe-RO-with-FWC-coupling---DN400-800--PN1---PN6--SN10000.pdf</t>
  </si>
  <si>
    <t>Hobas Sewer Pipe VO with coupling 6m, DN1200, PN1, SN5000</t>
  </si>
  <si>
    <t>https://www.epd-norge.no/getfile.php/1321552-1637059705/EPDer/Byggevarer/Rørsystemer/NEPD-3229-1878_Hobas-Sewer-Pipe-VO-with-coupling---6m--DN1200--PN1--SN5000.pdf</t>
  </si>
  <si>
    <t>Hobas Sewer Pipe VO with FWC coupling DN1535-3600, PN1, SN10000 &amp; SN16000 &amp; SN20000</t>
  </si>
  <si>
    <t>https://www.epd-norge.no/getfile.php/1321576-1637060294/EPDer/Byggevarer/Rørsystemer/NEPD-3233-1874_Hobas-Sewer-Pipe-VO-with-FWC-coupling---DN1535-3600--PN1--SN10000---SN16000---SN20000.pdf</t>
  </si>
  <si>
    <t>Hobas Sewer Pipe VO with FWC coupling DN500-750, PN1, SN10000</t>
  </si>
  <si>
    <t>https://www.epd-norge.no/getfile.php/1321525-1637059380/EPDer/Byggevarer/Rørsystemer/NEPD-3224-1883_Hobas-Sewer-Pipe-VO-with-FWC-coupling---DN500-750--PN1--SN10000.pdf</t>
  </si>
  <si>
    <t>Hobas Sewer Pipe VO with FWC coupling DN800-1500, PN1, SN10000 &amp; SN16000 &amp; SN20000</t>
  </si>
  <si>
    <t>https://www.epd-norge.no/getfile.php/1321558-1637059872/EPDer/Byggevarer/Rørsystemer/NEPD-3230-1877_Hobas-Sewer-Pipe-VO-with-FWC-coupling---DN800-1500--PN1--SN10000---SN16000---SN20000.pdf</t>
  </si>
  <si>
    <t>INFRA Sewage pipes</t>
  </si>
  <si>
    <t>sewage</t>
  </si>
  <si>
    <t>https://epdnorway.lca-data.com/resource/datastocks/91413340-7bf0-4f88-a952-0f91cba685df/processes/8b38c66f-9881-4e20-a344-c9ce60a24549/epd?version=00.03.0000</t>
  </si>
  <si>
    <t>PE100 RC Pressure Sewage pipes in coil SDR 11</t>
  </si>
  <si>
    <t>https://epdnorway.lca-data.com/resource/datastocks/91413340-7bf0-4f88-a952-0f91cba685df/processes/ce30afea-c29b-461d-8b28-94fc30d7f227/epd?version=00.03.000</t>
  </si>
  <si>
    <t>PE100 RC Pressure Sewage pipes in coil SDR 17</t>
  </si>
  <si>
    <t>https://epdnorway.lca-data.com/datasetdetail/process.xhtml?uuid=54a707b0-9899-4364-ac8d-414f58580bd2&amp;version=00.03.000&amp;stock=PUBLIC&amp;lang=en</t>
  </si>
  <si>
    <t>PE100 RC Pressure Sewage pipes SDR 11</t>
  </si>
  <si>
    <t>https://epdnorway.lca-data.com/datasetdetail/process.xhtml?uuid=2ccbc5c5-0d6a-44ee-b221-1b3e6a2ef7c7&amp;version=00.03.000&amp;stock=PUBLIC&amp;lang=en</t>
  </si>
  <si>
    <t>PE100 RC Pressure Sewage pipes SDR 17</t>
  </si>
  <si>
    <t>https://epdnorway.lca-data.com/datasetdetail/process.xhtml?uuid=b7dfa016-6d93-46bc-b351-028c83ace4fd&amp;version=00.03.000&amp;stock=PUBLIC&amp;lang=en</t>
  </si>
  <si>
    <t>PP Sewage pipe</t>
  </si>
  <si>
    <t>https://epdnorway.lca-data.com/datasetdetail/process.xhtml?uuid=b710a8c9-c845-4692-8069-5f06eada5645&amp;version=00.04.000&amp;stock=PUBLIC&amp;lang=en</t>
  </si>
  <si>
    <t>PVC Sewage pipe</t>
  </si>
  <si>
    <t>https://www.epd-norge.no/getfile.php/1331726-1687794985/EPDer/Byggevarer/Rørsystemer/NEPD-4321-3560_PVC-Sewage-pipe-.pdf</t>
  </si>
  <si>
    <t>https://epdnorway.lca-data.com/datasetdetail/process.xhtml?uuid=54595a96-9c5c-45bc-a55d-cdcdd286dea4&amp;version=00.03.001&amp;stock=PUBLIC&amp;lang=en</t>
  </si>
  <si>
    <t>Norway</t>
  </si>
  <si>
    <t>PP Stilla Pipes</t>
  </si>
  <si>
    <t>https://epdnorway.lca-data.com/datasetdetail/process.xhtml?uuid=729f0d9c-483d-44a2-be53-6d6414c0723a&amp;version=00.04.000&amp;stock=PUBLIC&amp;lang=en</t>
  </si>
  <si>
    <t>Pragma Sewage pipe</t>
  </si>
  <si>
    <t>https://epdnorway.lca-data.com/datasetdetail/process.xhtml?uuid=6043c029-4fc3-46e1-b575-e83019a12e8d&amp;version=00.04.000&amp;stock=PUBLIC&amp;lang=en</t>
  </si>
  <si>
    <t>PP Riser Pipe</t>
  </si>
  <si>
    <t>waste</t>
  </si>
  <si>
    <t>https://epdnorway.lca-data.com/datasetdetail/process.xhtml?uuid=d646d376-8420-4b3f-bc46-b74025cb7adb&amp;version=00.03.000&amp;stock=PUBLIC&amp;lang=en</t>
  </si>
  <si>
    <t>Uponor Klett Pipe</t>
  </si>
  <si>
    <t>underfloor heating</t>
  </si>
  <si>
    <t>https://manage.epdhub.com/#</t>
  </si>
  <si>
    <t>Uponor Aqua Pipe</t>
  </si>
  <si>
    <t>potable water, cold and hot water</t>
  </si>
  <si>
    <t>Uponor Aqua Pipe Blue in conduit</t>
  </si>
  <si>
    <t>Uponor Aqua Pipe in conduit</t>
  </si>
  <si>
    <t>Combi Pipe Blue in Conduit</t>
  </si>
  <si>
    <t>potable water, heating</t>
  </si>
  <si>
    <t>Combi Pipe in Conduit</t>
  </si>
  <si>
    <t>Plastic piping systems for water supply, and for drainage and sewerage under pressure</t>
  </si>
  <si>
    <t>water, sewer, process pipe</t>
  </si>
  <si>
    <t>PRESSURE pipes</t>
  </si>
  <si>
    <t>potable water, wastewater</t>
  </si>
  <si>
    <t>Latvia</t>
  </si>
  <si>
    <t>PRESSURE PIPES PROTECT / TRACER</t>
  </si>
  <si>
    <t>potable water, wastewater, gas</t>
  </si>
  <si>
    <t>LK PAL Universal Pipe A &amp; Pipe in Pipe</t>
  </si>
  <si>
    <t>hot, cold water, heating system, potable water</t>
  </si>
  <si>
    <t>https://api.environdec.com/api/v1/EPDLibrary/Files/11b9b62e-0ca6-4929-154f-08daab5a6b31/Data</t>
  </si>
  <si>
    <t>Master 3 Plus (soil and waste)</t>
  </si>
  <si>
    <t>Terrain FUZE HDPE Soil and Waste Pipe</t>
  </si>
  <si>
    <t>Terrain PVC Soil and Waste Pipe 110mm Grey</t>
  </si>
  <si>
    <t>GIGAPIPE PE pipe</t>
  </si>
  <si>
    <t>GIGAPIPE PP pipe</t>
  </si>
  <si>
    <t>Ultra Classic, Ultra Double Pipes</t>
  </si>
  <si>
    <t>Ultra Rib 2</t>
  </si>
  <si>
    <t>Ultra Rib 2 Blue</t>
  </si>
  <si>
    <t>Weholite</t>
  </si>
  <si>
    <t>Poland</t>
  </si>
  <si>
    <t>Weholite PLUS</t>
  </si>
  <si>
    <t>Double wall pipes for rain water (PE)</t>
  </si>
  <si>
    <t>rainwater</t>
  </si>
  <si>
    <t>HT PP Nordic Pipes</t>
  </si>
  <si>
    <t>EPDInternational</t>
  </si>
  <si>
    <t>FITT Bluforce - PVC-A polymer alloy pipes</t>
  </si>
  <si>
    <t>cold water, sewerage</t>
  </si>
  <si>
    <t>https://api.environdec.com/api/v1/EPDLibrary/Files/fbbaf15c-6386-49db-81fd-08d941d5f1c9/Data</t>
  </si>
  <si>
    <t>PVC-A</t>
  </si>
  <si>
    <t>LK PAL Universal Pipe A, straight</t>
  </si>
  <si>
    <t>https://api.environdec.com/api/v1/EPDLibrary/Files/d148be70-64ea-4be4-1556-08daab5a6b31/Data</t>
  </si>
  <si>
    <t>PE-RT, AL, PE-RT</t>
  </si>
  <si>
    <t>LK PAL Universal Pipe A, coiled</t>
  </si>
  <si>
    <t>https://api.environdec.com/api/v1/EPDLibrary/Files/86e90e94-4dda-4309-87a9-08db523a4d9e/Dataa</t>
  </si>
  <si>
    <t>LK Corrugated Pipe</t>
  </si>
  <si>
    <t>https://api.environdec.com/api/v1/EPDLibrary/Files/d56019e4-77b3-4588-79ed-08da491c4cdf/Data</t>
  </si>
  <si>
    <t>LK Universal &amp; Heating Pipe, PE-Xa/PE-RT/PE-X/RiR</t>
  </si>
  <si>
    <t>heating and potable water</t>
  </si>
  <si>
    <t>https://api.environdec.com/api/v1/EPDLibrary/Files/455d3553-5844-4a64-7a7c-08da491c4cdf/Data</t>
  </si>
  <si>
    <t>PE-Xa/PE-RT/PE-X/RiR</t>
  </si>
  <si>
    <t>Terrain Q and MecFlow Systems</t>
  </si>
  <si>
    <t>hot, cold water, heating and cooling, potable water</t>
  </si>
  <si>
    <t>https://api.environdec.com/api/v1/EPDLibrary/Files/cec21caa-9662-4d2d-cdce-08d9df0ea78f/Data</t>
  </si>
  <si>
    <t>Cross-linked polyethilene and multilayer piping system</t>
  </si>
  <si>
    <t>https://api.environdec.com/api/v1/EPDLibrary/Files/f5bf5a21-223c-403e-816f-08d941d5f1c9/Data</t>
  </si>
  <si>
    <t>Glassfiber Reinforced Plastic (GRP) Pipes</t>
  </si>
  <si>
    <t>water, wastewater, sewer</t>
  </si>
  <si>
    <t>https://epd.dijitalpanel.site/Upload/epdturkey.com/Products/Images/64de2a36b897d-EN%20S-P-04076_Construction_Subor_CRP%20Pipes_EN_EPDTurkey.pdf</t>
  </si>
  <si>
    <t>Multilayer Polypropylene Pipes</t>
  </si>
  <si>
    <t>https://api.environdec.com/api/v1/EPDLibrary/Files/b330e488-ed85-48f2-341e-08d8d4a0e2bb/Dataa</t>
  </si>
  <si>
    <t>Système SuperTube</t>
  </si>
  <si>
    <t>rainwater and wastewater</t>
  </si>
  <si>
    <t>ECOBOX DN/ID1030 pipe system, accessories included (Excluding trenching and filling)</t>
  </si>
  <si>
    <t>https://www.base-inies.fr/iniesV4/dist/infos-produitt</t>
  </si>
  <si>
    <t>ECOBOX DN/ID1200 pipe system, accessories included (Excluding digging and trench filling)</t>
  </si>
  <si>
    <t>ECOBOX DN/ID300 piping system, accessories included (Excluding trenching and filling)</t>
  </si>
  <si>
    <t>ECOBOX DN/ID400 piping system, accessories included (Excluding trenching and filling)</t>
  </si>
  <si>
    <t>ECOBOX DN/ID500 piping system, accessories included (Excluding trenching and filling)</t>
  </si>
  <si>
    <t>ECOBOX DN/ID600 piping system, accessories included (Excluding trenching and filling)</t>
  </si>
  <si>
    <t>ECOBOX DN/ID800 pipe system, accessories included (Excluding trenching and filling)</t>
  </si>
  <si>
    <t>FRIAPHON pipe</t>
  </si>
  <si>
    <t>HTA-E pipe</t>
  </si>
  <si>
    <t>CHUTUNIC</t>
  </si>
  <si>
    <t>HOMETECH</t>
  </si>
  <si>
    <t>Buried PVC rainwater sanitation pipe, collector diameter 315 mm CR8 excluding digging and trench filling</t>
  </si>
  <si>
    <t>PVC pipes for a complete wastewater and valve water drainage network including collection, ventilation and evacuation</t>
  </si>
  <si>
    <t>PVC buried sanitation network, collector diameter 200 mm CR8, excluding digging and trench filling</t>
  </si>
  <si>
    <t>POLO-ECO plus Premium DN 110 à DN 200 (Hors creusement et comblement des tranchées)</t>
  </si>
  <si>
    <t>POLO-ECO plus Premium DN 250 à DN 500 (Hors creusement et comblement des tranchées)</t>
  </si>
  <si>
    <t>POLO-ECO plus Premium DN 630 à DN 1000 (Hors creusement et comblement des tranchées)</t>
  </si>
  <si>
    <t>Pipes for sewerage systems - PP Master 10 DN200 (and DN160)</t>
  </si>
  <si>
    <t>Pipes for sewerage networks - PP Master 10 DN315 (and DN250)</t>
  </si>
  <si>
    <t>HYDRODISTRIBUTION PIPES PEX PB (v.1.2)</t>
  </si>
  <si>
    <t>water supply</t>
  </si>
  <si>
    <t>MULTILAYER HYDRODISTRIBUTION PIPES</t>
  </si>
  <si>
    <t>POLYETHYLENE (HDPE) DRINKING WATER SUPPLY PIPES DN160/PN10, excluding trench digging and filling</t>
  </si>
  <si>
    <t>POLYETHYLENE (HDPE) DRINKING WATER SUPPLY PIPES DN250/PN10, excluding trench digging and filling</t>
  </si>
  <si>
    <t>POLYETHYLENE (HDPE) DRINKING WATER SUPPLY PIPES DN400/PN16, excluding trenching and filling</t>
  </si>
  <si>
    <t>SYSTEM'O pipe</t>
  </si>
  <si>
    <t>TUBES FOR DRINKING WATER SUPPLY NETWORKS IN INDIGO BI-ORIENTE PCV including all diameters from DN 110 to DN 160 included, and Normal Pressure PN16, excluding trench digging and filling</t>
  </si>
  <si>
    <t>TUBES FOR DRINKING WATER SUPPLY NETWORKS IN INDIGO BI-ORIENTE PCV including all diameters from DN 200 to DN 400 included</t>
  </si>
  <si>
    <t>Buried PVC drinking water supply pipe, diameter 110 mm PN 16, excluding digging and trench filling</t>
  </si>
  <si>
    <t xml:space="preserve">ÖKOBAUDAT </t>
  </si>
  <si>
    <t>Drinking water pipe PB; PB</t>
  </si>
  <si>
    <t>https://oekobaudat.de/OEKOBAU.DAT/datasetdetail/process.xhtml?uuid=5cddd8d6-f777-4c55-99c4-7f8cb9f23a75&amp;version=20.23.050&amp;stock=OBD_2023_I&amp;lang=en</t>
  </si>
  <si>
    <t>Drinking water pipe PE-X; PE-X</t>
  </si>
  <si>
    <t>https://oekobaudat.de/OEKOBAU.DAT/datasetdetail/process.xhtml?uuid=a55d07bf-ce4b-427b-ab45-e4e1356c839b&amp;version=20.23.050&amp;stock=OBD_2023_I&amp;lang=en</t>
  </si>
  <si>
    <t>PE-X</t>
  </si>
  <si>
    <t>Drinking water pipe PE-X-Alu; PE-X-Alu</t>
  </si>
  <si>
    <t>https://oekobaudat.de/OEKOBAU.DAT/datasetdetail/process.xhtml?uuid=c9d466d3-d5cb-4be6-9ae3-609212c4438a&amp;version=20.23.050&amp;stock=OBD_2023_I&amp;lang=en</t>
  </si>
  <si>
    <t>PE-X-Alu</t>
  </si>
  <si>
    <t>Drinking water pipe PE X-Alu-PE X; PB</t>
  </si>
  <si>
    <t>https://oekobaudat.de/OEKOBAU.DAT/datasetdetail/process.xhtml?uuid=fc1c6f12-1e04-4c51-9836-81a4d7743528&amp;version=20.23.050&amp;stock=OBD_2023_I&amp;lang=enn</t>
  </si>
  <si>
    <t>PE X-Alu-PE X</t>
  </si>
  <si>
    <t>Polybutadiene pipe; PB</t>
  </si>
  <si>
    <t>https://oekobaudat.de/OEKOBAU.DAT/datasetdetail/process.xhtml?uuid=5a9bb863-f67d-4b2c-b34f-3eb8ed1c8b42&amp;version=20.23.050&amp;stock=OBD_2023_I&amp;lang=en</t>
  </si>
  <si>
    <t>Polypropylene pipe; PP</t>
  </si>
  <si>
    <t>https://oekobaudat.de/OEKOBAU.DAT/datasetdetail/process.xhtml?uuid=8c53cf57-5414-449f-9a1e-c0041657fd50&amp;version=20.23.050&amp;stock=OBD_2023_I&amp;lang=en</t>
  </si>
  <si>
    <t>UPONOR COMFORT PIPE PLUS BLUE</t>
  </si>
  <si>
    <t>heating</t>
  </si>
  <si>
    <t>https://cer.rts.fi/wp-content/uploads/rts_178_22-epd_comfort-pipe-plus-blue.pdf</t>
  </si>
  <si>
    <t>Sewer pipe ABS; ABS</t>
  </si>
  <si>
    <t>https://oekobaudat.de/OEKOBAU.DAT/datasetdetail/process.xhtml?uuid=9099dfdd-22a6-4dee-9b60-0e90701e9d99&amp;version=20.23.050&amp;stock=OBD_2023_I&amp;lang=enn</t>
  </si>
  <si>
    <t>Sewer pipe GFK; glass-fibre reinforced</t>
  </si>
  <si>
    <t>https://oekobaudat.de/OEKOBAU.DAT/datasetdetail/process.xhtml?uuid=d1ea7d7e-bcfc-496c-8cb6-072f2339eb7f&amp;version=20.23.050&amp;stock=OBD_2023_I&amp;lang=enn</t>
  </si>
  <si>
    <t>GFK</t>
  </si>
  <si>
    <t>Sewer pipe PE-HD; PE-HD</t>
  </si>
  <si>
    <t>https://oekobaudat.de/OEKOBAU.DAT/datasetdetail/process.xhtml?uuid=a198cf71-f033-4b76-9228-d22ca191b2f6&amp;version=20.23.050&amp;stock=OBD_2023_I&amp;lang=enn</t>
  </si>
  <si>
    <t>Sewer pipe PP; PP</t>
  </si>
  <si>
    <t>https://oekobaudat.de/OEKOBAU.DAT/datasetdetail/process.xhtml?uuid=88558ef9-479f-405e-9e94-e36f817a3620&amp;version=20.23.050&amp;stock=OBD_2023_I&amp;lang=en</t>
  </si>
  <si>
    <t>Sewer pipe PVC; PVC</t>
  </si>
  <si>
    <t>https://oekobaudat.de/OEKOBAU.DAT/datasetdetail/process.xhtml?uuid=61e47e03-7a7d-48db-a48a-f5368266f7f5&amp;version=20.23.050&amp;stock=OBD_2023_I&amp;lang=enn</t>
  </si>
  <si>
    <t>Rain drain pipe PVC; PVC pipe</t>
  </si>
  <si>
    <t>https://oekobaudat.de/OEKOBAU.DAT/datasetdetail/process.xhtml?uuid=5030f4d2-b8ae-4a72-9c76-e21b0a7d9089&amp;version=20.23.050&amp;stock=OBD_2023_I&amp;lang=en</t>
  </si>
  <si>
    <t>RAKENNUSTIETO</t>
  </si>
  <si>
    <t>UPONOR COMFORT PIPE PLUS</t>
  </si>
  <si>
    <t>https://cer.rts.fi/wp-content/uploads/rts_174_22-epd_comfort-pipe-plus_0221.pdf</t>
  </si>
  <si>
    <t>UPONOR COMBI PIPE</t>
  </si>
  <si>
    <t>https://cer.rts.fi/wp-content/uploads/rts_173_22-uponor-corporation_combi-pipes_epd.pdff</t>
  </si>
  <si>
    <t>UPONOR UNI PIPE PLUS</t>
  </si>
  <si>
    <t>https://cer.rts.fi/wp-content/uploads/rts_164_22-unipipeplus_epd_08-10_nov-09_2021_qianwang_nov-24_final_0117.pdf</t>
  </si>
  <si>
    <t>PE-RT, aluminium</t>
  </si>
  <si>
    <t>AQUASYSTEM PP-R &amp; PP-RCT PIPES AND FITTINGS</t>
  </si>
  <si>
    <t>https://cer.rts.fi/wp-content/uploads/pprc_epd-rts_-146_21.pdf</t>
  </si>
  <si>
    <t>PP-R &amp; PP-RCT</t>
  </si>
  <si>
    <t>SILENTA PREMIUM, SILENTA EXTREME, SILENTA 3A (sewer pipe system)</t>
  </si>
  <si>
    <t>soil, waste water, drainage</t>
  </si>
  <si>
    <t>https://cer.rts.fi/wp-content/uploads/silenta_epd-rts_145_21.pdf</t>
  </si>
  <si>
    <t>IQ STORM WATER PIPE, RANGE ID (INNER DIAMETER) 150 – 1200 mm</t>
  </si>
  <si>
    <t>storm water</t>
  </si>
  <si>
    <t>https://cer.rts.fi/wp-content/uploads/rts-epd_100-21_iq-storm-water-pipes_15-03.pdf</t>
  </si>
  <si>
    <t>Finland, Sweden</t>
  </si>
  <si>
    <t>SEWER PIPE ULTRA RIB 2® DIAMETER RANGE 200-560 MM</t>
  </si>
  <si>
    <t>sewer, storm water</t>
  </si>
  <si>
    <t>https://cer.rts.fi/wp-content/uploads/rts-epd_101_21_ultra-rib-2_15-03.pdf</t>
  </si>
  <si>
    <t>ELEVATORS</t>
  </si>
  <si>
    <t>kg eCO2/unit</t>
  </si>
  <si>
    <t>total mass</t>
  </si>
  <si>
    <t>tkm</t>
  </si>
  <si>
    <t>floors</t>
  </si>
  <si>
    <t>travel distance</t>
  </si>
  <si>
    <t>normalized/floor</t>
  </si>
  <si>
    <t>normalized/height</t>
  </si>
  <si>
    <t>use</t>
  </si>
  <si>
    <t>RES</t>
  </si>
  <si>
    <t>EcoPlatform/EPDInternational</t>
  </si>
  <si>
    <t>OTIS Gen2 Life® elevator (UC2)</t>
  </si>
  <si>
    <t>https://data.environdec.com/datasetdetail/process.xhtml?uuid=698f6f32-1cf1-4db4-a140-14a6966bc7b4&amp;version=07.00.015&amp;lang=en</t>
  </si>
  <si>
    <t>Europe (Germany, France, Spain)</t>
  </si>
  <si>
    <t>kgCO2e/unit</t>
  </si>
  <si>
    <t>OTIS Gen2 Stream® elevator (UC3)</t>
  </si>
  <si>
    <t>https://data.environdec.com/datasetdetail/process.xhtml?uuid=89e43200-848d-4d2e-b7d7-55c35ad0fb28&amp;version=07.00.015&amp;lang=en</t>
  </si>
  <si>
    <t>OTIS Gen2 Stream High Rise® elevator (UC4)</t>
  </si>
  <si>
    <t>https://data.environdec.com/datasetdetail/process.xhtml?uuid=bc31e532-9c8e-4020-abeb-a8916104f539&amp;version=07.00.015&amp;lang=en</t>
  </si>
  <si>
    <t>Schindler 5500 modular passenger elevator (UC3)</t>
  </si>
  <si>
    <t>https://data.environdec.com/datasetdetail/process.xhtml?uuid=23bd973f-7649-4ebb-a5a7-2af1862493a4&amp;version=07.00.015&amp;lang=en</t>
  </si>
  <si>
    <t>COM/IND</t>
  </si>
  <si>
    <t>Schindler 5500 modular passenger elevator (UC4)</t>
  </si>
  <si>
    <t>Elevator with KONE MonoSpace® Upgrade DX (UC3)</t>
  </si>
  <si>
    <t>https://data.environdec.com/datasetdetail/process.xhtml?uuid=14e52cad-c61d-491e-d24c-08db150ad048&amp;version=07.00.015&amp;lang=en</t>
  </si>
  <si>
    <t>KONE MonoSpace(R) 500 DX Elevator (UC3)</t>
  </si>
  <si>
    <t>https://cer.rts.fi/wp-content/uploads/rts_69_20-kone_monospace_300_dx_epd_22-03.pdff</t>
  </si>
  <si>
    <t>EOX TK Elevator (UC1)</t>
  </si>
  <si>
    <t>https://api.environdec.com/api/v1/EPDLibrary/Files/015c245e-e403-4e0e-764c-08db719c9c63/Data</t>
  </si>
  <si>
    <t>EOX TK Elevator (UC2)</t>
  </si>
  <si>
    <t>EOX TK Elevator (UC3)</t>
  </si>
  <si>
    <t>A tonne-kilometre is a measurement unit corresponding to the transport of one ton over a distance of one kilometre.</t>
  </si>
  <si>
    <t>OTIS Genesis elevator (UC2)</t>
  </si>
  <si>
    <t>https://api.environdec.com/api/v1/EPDLibrary/Files/c8dd2f54-7217-4864-c9ae-08da00e21b69/Data</t>
  </si>
  <si>
    <t>OTIS Gen360™ Low duty platform (UC2)</t>
  </si>
  <si>
    <t>https://api.environdec.com/api/v1/EPDLibrary/Files/93e74f72-c77d-4e77-fc41-08d9bd3aaab3/Dataa</t>
  </si>
  <si>
    <t>OTIS Gen360™ platform (UC3)</t>
  </si>
  <si>
    <t>https://api.environdec.com/api/v1/EPDLibrary/Files/23dcbd34-8c51-476d-8736-08d9d73a4e22/Data</t>
  </si>
  <si>
    <t>OTIS SkyRise elevator single deck (UC4)</t>
  </si>
  <si>
    <t>https://api.environdec.com/api/v1/EPDLibrary/Files/8f18d024-5a86-4e7b-ab82-08da599e304a/Data</t>
  </si>
  <si>
    <t>Europe (Germany)</t>
  </si>
  <si>
    <t>OTIS SkyRise elevator double deck (UC5)</t>
  </si>
  <si>
    <t>https://api.environdec.com/api/v1/EPDLibrary/Files/b63d5638-8f0c-4f87-ab86-08da599e304a/Data</t>
  </si>
  <si>
    <t>Synergy elevator system, UC1</t>
  </si>
  <si>
    <t>https://api.environdec.com/api/v1/EPDLibrary/Files/a2d115be-62c6-4bf7-f4a3-08da17f54cd6/Dataa</t>
  </si>
  <si>
    <t>Synergy elevator system, UC2</t>
  </si>
  <si>
    <t>evolution 100 | 200 | 300, UC2</t>
  </si>
  <si>
    <t>https://api.environdec.com/api/v1/EPDLibrary/Files/cc4f0d93-1533-4b1e-054c-08d9b9685fa2/Data</t>
  </si>
  <si>
    <t>evolution 100 | 200 | 300, UC3</t>
  </si>
  <si>
    <t>evolution 100 | 200 | 300, UC4</t>
  </si>
  <si>
    <t>Schindler 1000, Schindler 1000 Plus, Schindler 3000, Schindler 3000 Plus (UC2)</t>
  </si>
  <si>
    <t>https://api.environdec.com/api/v1/EPDLibrary/Files/f4ebb42e-38a2-450f-82e7-08da54e4347e/Data</t>
  </si>
  <si>
    <t>Schindler 1000, Schindler 1000 Plus, Schindler 3000, Schindler 3000 Plus (UC3)</t>
  </si>
  <si>
    <t>Orona next smart+ lift (S16), UC3</t>
  </si>
  <si>
    <t>https://api.environdec.com/api/v1/EPDLibrary/Files/cdac101a-c4cc-4bb6-6959-08d9b3ca1199/Data</t>
  </si>
  <si>
    <t>Orona next smart+ lift (S18), UC3</t>
  </si>
  <si>
    <t>Orona next smart lift (S15), UC2</t>
  </si>
  <si>
    <t>https://api.environdec.com/api/v1/EPDLibrary/Files/3f6f5282-6ed7-44ee-695d-08d9b3ca1199/Data</t>
  </si>
  <si>
    <t>Orona next smart lift (S19), UC2</t>
  </si>
  <si>
    <t>Orona next essential lift, UC2</t>
  </si>
  <si>
    <t>https://api.environdec.com/api/v1/EPDLibrary/Files/124ec9e9-be56-441a-695c-08d9b3ca1199/Data</t>
  </si>
  <si>
    <t>REXIA/ZEXIA lift (UC4)</t>
  </si>
  <si>
    <t>https://api.environdec.com/api/v1/EPDLibrary/Files/1190336b-1453-4d39-a33b-08da713617ee/Data</t>
  </si>
  <si>
    <t>ELSIA lift (UC4)</t>
  </si>
  <si>
    <t>https://api.environdec.com/api/v1/EPDLibrary/Files/c3774fc1-6968-4daf-a33c-08da713617ee/Data</t>
  </si>
  <si>
    <t>https://www.kone.com/en/Images/KONE_MonoSpace_500_DX_EPD_22012714_tcm17-96160.pdf</t>
  </si>
  <si>
    <t>KONE MiniSpace™ DX (UC3)</t>
  </si>
  <si>
    <t>https://www.kone.com/en/Images/KONE_MiniSpace_EPD_22-03_tcm17-94409.pdf</t>
  </si>
  <si>
    <t>KONE MonoSpace® 700, KONE MonoSpace® 700 DX</t>
  </si>
  <si>
    <t>https://cer.rts.fi/wp-content/uploads/new_kone_monospace_700_epd_22012714.pdf</t>
  </si>
  <si>
    <t>KONE Transys™, KONE Transys™ DX</t>
  </si>
  <si>
    <t>https://cer.rts.fi/wp-content/uploads/rts_43_19-kone_transys_epd_22-03.pdf</t>
  </si>
  <si>
    <t>HVAC SYSTEM</t>
  </si>
  <si>
    <t>ref.</t>
  </si>
  <si>
    <t>object</t>
  </si>
  <si>
    <t>components</t>
  </si>
  <si>
    <t>building type</t>
  </si>
  <si>
    <t>Dokka et al. (2013)</t>
  </si>
  <si>
    <t>HVAC installation</t>
  </si>
  <si>
    <t>ventilation air (0.4*60 years)</t>
  </si>
  <si>
    <t>4-storey office building</t>
  </si>
  <si>
    <t>Ylmen et al. (2019)</t>
  </si>
  <si>
    <t>office building</t>
  </si>
  <si>
    <t>Kiamili et al. (2020)</t>
  </si>
  <si>
    <t>air terminals, mechanical equipment, duct and pipes + accessories, insulation, fittings</t>
  </si>
  <si>
    <t>Switzerland</t>
  </si>
  <si>
    <t>Garcia-Sanz-Calcedo et al. (2021)</t>
  </si>
  <si>
    <t>HVAC system</t>
  </si>
  <si>
    <t>air-cooled heat pumps with axial flow fans, water distribution, rooftop units, heat recovery and free-cooling systems, with inverter technology</t>
  </si>
  <si>
    <t>healthcare centre</t>
  </si>
  <si>
    <t>Medas (2018)</t>
  </si>
  <si>
    <t>building 1 - FCU</t>
  </si>
  <si>
    <t>air-cooled chiller, air handling units, condenser boiler, ducts and attenuators, fan coil units, linear diffusers, pipework</t>
  </si>
  <si>
    <t>commercial office, ICE</t>
  </si>
  <si>
    <t>building 2 - VRF</t>
  </si>
  <si>
    <t>air handling units, ductwork. pipework, swirl air diffusers, VAV terminal unit, VRF indoor terminal unit and VRF rooftop condenser unit</t>
  </si>
  <si>
    <t>building 3 - VRF</t>
  </si>
  <si>
    <t>air handling units, ductwork. pipework, VAV terminal unit, VRF indoor terminal unit and VRF rooftop condenser unit</t>
  </si>
  <si>
    <t>building 4 - VAV</t>
  </si>
  <si>
    <t>air cooled centrifugal chiller, air handling units, attenuators, ductwork, pipework, VAV terminal units</t>
  </si>
  <si>
    <t>commercial office, Ecoinvent</t>
  </si>
  <si>
    <t>CLF (2019)</t>
  </si>
  <si>
    <t>HVAC (excluding refrigerants)</t>
  </si>
  <si>
    <t>US</t>
  </si>
  <si>
    <t>SB, 1, large</t>
  </si>
  <si>
    <t>SB, 2, large</t>
  </si>
  <si>
    <t>SB, 3, medium</t>
  </si>
  <si>
    <t>SB, 4, medium</t>
  </si>
  <si>
    <t>SB, 5, small</t>
  </si>
  <si>
    <t>SB, 6, small</t>
  </si>
  <si>
    <t>SB, 7, xsmall</t>
  </si>
  <si>
    <t>SB, 8, xsmall</t>
  </si>
  <si>
    <t>PB, 1, large</t>
  </si>
  <si>
    <t>PB, 2, large</t>
  </si>
  <si>
    <t>PB, 3, medium</t>
  </si>
  <si>
    <t>PB, 4, medium</t>
  </si>
  <si>
    <t>PB, 5, small</t>
  </si>
  <si>
    <t>PB, 6, small</t>
  </si>
  <si>
    <t>PB, 7, xsmall</t>
  </si>
  <si>
    <t>PB, 8, xsmall</t>
  </si>
  <si>
    <t>YM (2019)</t>
  </si>
  <si>
    <t>Water supply, radiators, district heating substation, ventilation system</t>
  </si>
  <si>
    <t>ELECTRICAL SYSTEM</t>
  </si>
  <si>
    <t>electrical system</t>
  </si>
  <si>
    <t>KBOB (2022)</t>
  </si>
  <si>
    <t>residential</t>
  </si>
  <si>
    <t>offices</t>
  </si>
  <si>
    <t>FIRE SYSTEM</t>
  </si>
  <si>
    <t>sprinkler and fire safety</t>
  </si>
  <si>
    <t>fire extinguishing system, sprinkler (for apartment building)</t>
  </si>
  <si>
    <t>sprinkler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</si>
</sst>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_-* #,##0_-;\-* #,##0_-;_-* &quot;-&quot;??_-;_-@_-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9"/>
      <color rgb="FF000000"/>
      <name val="Arial"/>
      <family val="2"/>
    </font>
    <font>
      <sz val="10"/>
      <color rgb="FF1F1F1F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9DBF8"/>
        <bgColor rgb="FFC9DAF8"/>
      </patternFill>
    </fill>
    <fill>
      <patternFill patternType="solid">
        <fgColor rgb="FFC9DBF8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1"/>
    <xf numFmtId="0" fontId="15" fillId="0" borderId="1"/>
    <xf numFmtId="164" fontId="16" fillId="0" borderId="1"/>
  </cellStyleXfs>
  <cellXfs count="110">
    <xf numFmtId="0" fontId="0" fillId="0" borderId="0" xfId="0" applyBorder="1"/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2" fontId="1" fillId="2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2" fontId="4" fillId="0" borderId="0" xfId="0" applyNumberFormat="1" applyFont="1" applyBorder="1" applyAlignment="1">
      <alignment horizontal="right"/>
    </xf>
    <xf numFmtId="0" fontId="1" fillId="2" borderId="0" xfId="0" applyFont="1" applyFill="1" applyBorder="1"/>
    <xf numFmtId="2" fontId="2" fillId="0" borderId="0" xfId="0" applyNumberFormat="1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5" fillId="0" borderId="0" xfId="0" applyFont="1" applyBorder="1"/>
    <xf numFmtId="9" fontId="4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165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5" fontId="2" fillId="0" borderId="0" xfId="0" applyNumberFormat="1" applyFont="1" applyBorder="1" applyAlignment="1">
      <alignment horizontal="left"/>
    </xf>
    <xf numFmtId="0" fontId="7" fillId="0" borderId="0" xfId="0" applyFont="1" applyBorder="1"/>
    <xf numFmtId="1" fontId="2" fillId="0" borderId="0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left"/>
    </xf>
    <xf numFmtId="1" fontId="2" fillId="4" borderId="2" xfId="0" applyNumberFormat="1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horizontal="left"/>
    </xf>
    <xf numFmtId="0" fontId="2" fillId="0" borderId="1" xfId="0" applyFont="1" applyAlignment="1">
      <alignment horizontal="left"/>
    </xf>
    <xf numFmtId="0" fontId="0" fillId="0" borderId="1" xfId="0"/>
    <xf numFmtId="0" fontId="2" fillId="0" borderId="1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1" xfId="0" applyAlignment="1">
      <alignment horizontal="right"/>
    </xf>
    <xf numFmtId="166" fontId="2" fillId="0" borderId="0" xfId="0" applyNumberFormat="1" applyFont="1" applyBorder="1"/>
    <xf numFmtId="0" fontId="13" fillId="0" borderId="0" xfId="0" applyFont="1" applyBorder="1"/>
    <xf numFmtId="0" fontId="13" fillId="0" borderId="1" xfId="0" applyFont="1"/>
    <xf numFmtId="167" fontId="3" fillId="0" borderId="1" xfId="0" applyNumberFormat="1" applyFont="1" applyAlignment="1">
      <alignment horizontal="right"/>
    </xf>
    <xf numFmtId="0" fontId="15" fillId="0" borderId="0" xfId="1" applyBorder="1" applyAlignment="1">
      <alignment horizontal="left"/>
    </xf>
    <xf numFmtId="0" fontId="1" fillId="2" borderId="1" xfId="0" applyFont="1" applyFill="1"/>
    <xf numFmtId="0" fontId="11" fillId="0" borderId="1" xfId="0" applyFont="1" applyAlignment="1">
      <alignment horizontal="left"/>
    </xf>
    <xf numFmtId="0" fontId="14" fillId="0" borderId="0" xfId="0" applyFont="1" applyBorder="1"/>
    <xf numFmtId="9" fontId="13" fillId="0" borderId="0" xfId="0" applyNumberFormat="1" applyFont="1" applyBorder="1"/>
    <xf numFmtId="166" fontId="2" fillId="0" borderId="0" xfId="0" applyNumberFormat="1" applyFont="1" applyBorder="1" applyAlignment="1">
      <alignment horizontal="left"/>
    </xf>
    <xf numFmtId="166" fontId="2" fillId="4" borderId="2" xfId="0" applyNumberFormat="1" applyFont="1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13" fillId="0" borderId="0" xfId="0" applyFont="1" applyBorder="1" applyAlignment="1">
      <alignment horizontal="right"/>
    </xf>
    <xf numFmtId="0" fontId="3" fillId="0" borderId="0" xfId="0" applyFont="1" applyBorder="1" applyAlignment="1">
      <alignment vertical="center"/>
    </xf>
    <xf numFmtId="2" fontId="13" fillId="0" borderId="0" xfId="0" applyNumberFormat="1" applyFont="1" applyBorder="1"/>
    <xf numFmtId="0" fontId="2" fillId="0" borderId="1" xfId="0" applyFont="1" applyAlignment="1">
      <alignment vertical="center"/>
    </xf>
    <xf numFmtId="0" fontId="5" fillId="0" borderId="0" xfId="0" applyFont="1" applyBorder="1" applyAlignment="1">
      <alignment horizontal="left"/>
    </xf>
    <xf numFmtId="164" fontId="2" fillId="0" borderId="0" xfId="2" applyFont="1" applyBorder="1" applyAlignment="1">
      <alignment horizontal="right"/>
    </xf>
    <xf numFmtId="164" fontId="3" fillId="0" borderId="0" xfId="2" applyFont="1" applyBorder="1" applyAlignment="1">
      <alignment horizontal="right"/>
    </xf>
    <xf numFmtId="164" fontId="0" fillId="0" borderId="1" xfId="2" applyFont="1" applyAlignment="1">
      <alignment horizontal="right"/>
    </xf>
    <xf numFmtId="168" fontId="2" fillId="0" borderId="0" xfId="2" applyNumberFormat="1" applyFont="1" applyBorder="1" applyAlignment="1">
      <alignment horizontal="right"/>
    </xf>
    <xf numFmtId="168" fontId="2" fillId="0" borderId="0" xfId="2" applyNumberFormat="1" applyFont="1" applyBorder="1"/>
    <xf numFmtId="168" fontId="3" fillId="0" borderId="0" xfId="2" applyNumberFormat="1" applyFont="1" applyBorder="1"/>
    <xf numFmtId="168" fontId="4" fillId="0" borderId="0" xfId="2" applyNumberFormat="1" applyFont="1" applyBorder="1"/>
    <xf numFmtId="168" fontId="3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 vertical="center"/>
    </xf>
    <xf numFmtId="168" fontId="0" fillId="0" borderId="0" xfId="2" applyNumberFormat="1" applyFont="1" applyBorder="1"/>
    <xf numFmtId="164" fontId="2" fillId="0" borderId="0" xfId="2" applyFont="1" applyBorder="1"/>
    <xf numFmtId="164" fontId="13" fillId="0" borderId="1" xfId="2" applyFont="1"/>
    <xf numFmtId="164" fontId="2" fillId="0" borderId="1" xfId="2" applyFont="1"/>
    <xf numFmtId="0" fontId="1" fillId="0" borderId="1" xfId="0" applyFont="1" applyAlignment="1">
      <alignment horizontal="left"/>
    </xf>
    <xf numFmtId="0" fontId="0" fillId="0" borderId="0" xfId="0" applyBorder="1"/>
    <xf numFmtId="0" fontId="2" fillId="2" borderId="1" xfId="0" applyFont="1" applyFill="1" applyAlignment="1">
      <alignment horizontal="center"/>
    </xf>
    <xf numFmtId="0" fontId="1" fillId="5" borderId="1" xfId="0" applyFont="1" applyFill="1" applyAlignment="1">
      <alignment horizontal="center"/>
    </xf>
    <xf numFmtId="0" fontId="2" fillId="6" borderId="1" xfId="0" applyFont="1" applyFill="1" applyAlignment="1">
      <alignment horizontal="center"/>
    </xf>
    <xf numFmtId="0" fontId="5" fillId="0" borderId="1" xfId="0" applyFont="1" applyAlignment="1">
      <alignment horizontal="left" vertical="center"/>
    </xf>
    <xf numFmtId="0" fontId="14" fillId="0" borderId="1" xfId="0" applyFont="1" applyAlignment="1">
      <alignment horizontal="left" vertical="center"/>
    </xf>
    <xf numFmtId="0" fontId="10" fillId="2" borderId="1" xfId="0" applyFont="1" applyFill="1" applyAlignment="1">
      <alignment horizontal="center"/>
    </xf>
    <xf numFmtId="0" fontId="1" fillId="2" borderId="1" xfId="0" applyFont="1" applyFill="1" applyAlignment="1">
      <alignment horizontal="center"/>
    </xf>
    <xf numFmtId="0" fontId="2" fillId="0" borderId="1" xfId="0" applyFont="1" applyAlignment="1">
      <alignment horizontal="left" vertical="center" wrapText="1"/>
    </xf>
    <xf numFmtId="0" fontId="2" fillId="0" borderId="1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9" fillId="3" borderId="2" xfId="0" applyFont="1" applyFill="1" applyBorder="1" applyAlignment="1">
      <alignment horizontal="left" vertical="center"/>
    </xf>
    <xf numFmtId="0" fontId="0" fillId="0" borderId="3" xfId="0" applyBorder="1"/>
    <xf numFmtId="0" fontId="2" fillId="0" borderId="2" xfId="0" applyFont="1" applyBorder="1" applyAlignment="1">
      <alignment horizontal="left"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2" fillId="0" borderId="1" xfId="0" applyFont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Alignment="1">
      <alignment vertical="center" wrapText="1"/>
    </xf>
    <xf numFmtId="2" fontId="2" fillId="0" borderId="1" xfId="0" applyNumberFormat="1" applyFont="1" applyAlignment="1">
      <alignment horizontal="center" vertical="center"/>
    </xf>
    <xf numFmtId="1" fontId="2" fillId="0" borderId="1" xfId="0" applyNumberFormat="1" applyFont="1" applyAlignment="1">
      <alignment horizontal="center" vertical="center"/>
    </xf>
    <xf numFmtId="0" fontId="2" fillId="0" borderId="1" xfId="0" applyFont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.aenor.com/Producto_DAP_pdf/GlobalEPD_002_034_ESP.pdf" TargetMode="External"/><Relationship Id="rId21" Type="http://schemas.openxmlformats.org/officeDocument/2006/relationships/hyperlink" Target="https://www.en.aenor.com/Producto_DAP_pdf/GlobalEPD_002_029_r1_ESP.pdf" TargetMode="External"/><Relationship Id="rId42" Type="http://schemas.openxmlformats.org/officeDocument/2006/relationships/hyperlink" Target="http://soda.dapcons.com:8080/showProcess.xhtml?uuid=31c501cc-6c04-4b2b-9e78-293da1e78d2f&amp;stock=default" TargetMode="External"/><Relationship Id="rId47" Type="http://schemas.openxmlformats.org/officeDocument/2006/relationships/hyperlink" Target="https://ecosmdp.eco-platform.org/datasetdetail/process.xhtml?uuid=10875a7e-806c-4d90-8fe0-868e47e91b36&amp;version=00.00.013&amp;lang=en" TargetMode="External"/><Relationship Id="rId63" Type="http://schemas.openxmlformats.org/officeDocument/2006/relationships/hyperlink" Target="https://node.epditaly.it/datasetdetail/process.xhtml?uuid=6746751e-4299-48b2-930c-d5beb7a202e4&amp;version=00.03.000&amp;lang=en" TargetMode="External"/><Relationship Id="rId68" Type="http://schemas.openxmlformats.org/officeDocument/2006/relationships/hyperlink" Target="https://api.environdec.com/api/v1/EPDLibrary/Files/5fce72b4-37f2-4f47-566a-08da12da9675/Data" TargetMode="External"/><Relationship Id="rId84" Type="http://schemas.openxmlformats.org/officeDocument/2006/relationships/hyperlink" Target="https://data.lcadatabase.com/datasetdetail/process.xhtml?uuid=e7290f94-f47a-414b-9b49-215ed435b15c" TargetMode="External"/><Relationship Id="rId89" Type="http://schemas.openxmlformats.org/officeDocument/2006/relationships/hyperlink" Target="https://data.lcadatabase.com/datasetdetail/process.xhtml?uuid=d45629ef-b80e-4795-9e6a-4b5994b0e126" TargetMode="External"/><Relationship Id="rId16" Type="http://schemas.openxmlformats.org/officeDocument/2006/relationships/hyperlink" Target="https://www.en.aenor.com/Producto_DAP_pdf/GlobalEPD_002_024_ESP.pdf" TargetMode="External"/><Relationship Id="rId11" Type="http://schemas.openxmlformats.org/officeDocument/2006/relationships/hyperlink" Target="https://www.en.aenor.com/Producto_DAP_pdf/GlobalEPD_002_019_ESP.pdf" TargetMode="External"/><Relationship Id="rId32" Type="http://schemas.openxmlformats.org/officeDocument/2006/relationships/hyperlink" Target="https://www.en.aenor.com/Producto_DAP_pdf/DAP%20MAINZU%20002-053%20BIII_EN.pdf" TargetMode="External"/><Relationship Id="rId37" Type="http://schemas.openxmlformats.org/officeDocument/2006/relationships/hyperlink" Target="https://www.en.aenor.com/Producto_DAP_pdf/ARGENTA%20CERAMICA%2c%20S.L.%20BIII_EN.pdf" TargetMode="External"/><Relationship Id="rId53" Type="http://schemas.openxmlformats.org/officeDocument/2006/relationships/hyperlink" Target="https://node.epditaly.it/datasetdetail/process.xhtml?uuid=616ecdaf-7849-4955-a2f8-c213c3324be2&amp;version=00.00.026&amp;lang=en" TargetMode="External"/><Relationship Id="rId58" Type="http://schemas.openxmlformats.org/officeDocument/2006/relationships/hyperlink" Target="https://node.epditaly.it/datasetdetail/process.xhtml?uuid=35c5f24a-b935-4441-add2-cef5e1ebf1ac&amp;version=00.00.028&amp;lang=en" TargetMode="External"/><Relationship Id="rId74" Type="http://schemas.openxmlformats.org/officeDocument/2006/relationships/hyperlink" Target="https://data.lcadatabase.com/datasetdetail/process.xhtml?uuid=c1ca31e4-fcfc-45b9-bec2-27e398d7412a" TargetMode="External"/><Relationship Id="rId79" Type="http://schemas.openxmlformats.org/officeDocument/2006/relationships/hyperlink" Target="https://data.lcadatabase.com/datasetdetail/process.xhtml?uuid=38d59e7f-7de5-415d-8f5e-6086c3cf67cc" TargetMode="External"/><Relationship Id="rId102" Type="http://schemas.openxmlformats.org/officeDocument/2006/relationships/hyperlink" Target="https://node-opendap-es.translate.goog/datasetdetail/process.xhtml?uuid=21dcf5ff-ae97-4188-b47e-154487c62c7a&amp;version=00.00.018&amp;stock=default&amp;_x_tr_sl=auto&amp;_x_tr_tl=en&amp;_x_tr_hl=en&amp;_x_tr_pto=wapp" TargetMode="External"/><Relationship Id="rId5" Type="http://schemas.openxmlformats.org/officeDocument/2006/relationships/hyperlink" Target="https://www.en.aenor.com/Producto_DAP_pdf/GlobalEPD_002_013_r1_ESP.pdf" TargetMode="External"/><Relationship Id="rId90" Type="http://schemas.openxmlformats.org/officeDocument/2006/relationships/hyperlink" Target="https://epd.dijitalpanel.site/Upload/epdturkey.com/Products/Images/64db7b9f8aae4-EN%20S-P-06761_Construction_Hitit%20Seramik_Wall%20Tile_EN_EPDTurkey.pdf" TargetMode="External"/><Relationship Id="rId95" Type="http://schemas.openxmlformats.org/officeDocument/2006/relationships/hyperlink" Target="https://epd.dijitalpanel.site/Upload/epdturkey.com/Products/Images/64ca45f9ec76b-S-P-00872_Construction_FloorTile_Kaleseramik_EN_EPDTurkey.pdf" TargetMode="External"/><Relationship Id="rId22" Type="http://schemas.openxmlformats.org/officeDocument/2006/relationships/hyperlink" Target="https://www.en.aenor.com/Producto_DAP_pdf/GlobalEPD_002_030_ESP.pdf" TargetMode="External"/><Relationship Id="rId27" Type="http://schemas.openxmlformats.org/officeDocument/2006/relationships/hyperlink" Target="https://www.en.aenor.com/Producto_DAP_pdf/GlobalEPD_002_035_ESP.pdf" TargetMode="External"/><Relationship Id="rId43" Type="http://schemas.openxmlformats.org/officeDocument/2006/relationships/hyperlink" Target="http://soda.dapcons.com:8080/datasetdetail/process.xhtml?uuid=74941025-5df7-412e-8014-b908795595e9&amp;version=00.01.000&amp;stock=default" TargetMode="External"/><Relationship Id="rId48" Type="http://schemas.openxmlformats.org/officeDocument/2006/relationships/hyperlink" Target="https://data.environdec.com/datasetdetail/process.xhtml?uuid=946efb0b-8a9a-4294-9a19-1b7f23deff87&amp;version=00.00.037&amp;lang=en" TargetMode="External"/><Relationship Id="rId64" Type="http://schemas.openxmlformats.org/officeDocument/2006/relationships/hyperlink" Target="https://node.epditaly.it/datasetdetail/process.xhtml?uuid=1d8f36aa-c86c-48ba-90ba-795ed8cbd876&amp;version=00.03.000&amp;lang=en" TargetMode="External"/><Relationship Id="rId69" Type="http://schemas.openxmlformats.org/officeDocument/2006/relationships/hyperlink" Target="https://data.lcadatabase.com/datasetdetail/process.xhtml?uuid=2610f976-9424-4a8c-b92e-10b865781526" TargetMode="External"/><Relationship Id="rId80" Type="http://schemas.openxmlformats.org/officeDocument/2006/relationships/hyperlink" Target="https://data.lcadatabase.com/datasetdetail/process.xhtml?uuid=54cf70cb-bdcd-490c-ab1a-9498c83cbe3e" TargetMode="External"/><Relationship Id="rId85" Type="http://schemas.openxmlformats.org/officeDocument/2006/relationships/hyperlink" Target="https://data.lcadatabase.com/datasetdetail/process.xhtml?uuid=70663476-3279-403e-9b51-12bd1ed12e12" TargetMode="External"/><Relationship Id="rId12" Type="http://schemas.openxmlformats.org/officeDocument/2006/relationships/hyperlink" Target="https://www.en.aenor.com/Producto_DAP_pdf/GlobalEPD_002_020_ESP.pdf" TargetMode="External"/><Relationship Id="rId17" Type="http://schemas.openxmlformats.org/officeDocument/2006/relationships/hyperlink" Target="https://www.en.aenor.com/Producto_DAP_pdf/GlobalEPD_002_025_r1_ESP.pdf" TargetMode="External"/><Relationship Id="rId25" Type="http://schemas.openxmlformats.org/officeDocument/2006/relationships/hyperlink" Target="https://www.en.aenor.com/Producto_DAP_pdf/GlobalEPD_002_033_r1_ESP.pdf" TargetMode="External"/><Relationship Id="rId33" Type="http://schemas.openxmlformats.org/officeDocument/2006/relationships/hyperlink" Target="https://www.en.aenor.com/Producto_DAP_pdf/GlobalEPD_002_037_r1_ENG.pdf" TargetMode="External"/><Relationship Id="rId38" Type="http://schemas.openxmlformats.org/officeDocument/2006/relationships/hyperlink" Target="https://www.en.aenor.com/Producto_DAP_pdf/GRUPO%20GRECO%20GRES%20INTERNACIONAL_S.A.%20AIa_en.pdf" TargetMode="External"/><Relationship Id="rId46" Type="http://schemas.openxmlformats.org/officeDocument/2006/relationships/hyperlink" Target="https://soda.dapcons.com/datasetdetail/process.xhtml?uuid=a04c59e0-6a9e-467f-916b-c887b48762f3&amp;version=00.02.000&amp;lang=en" TargetMode="External"/><Relationship Id="rId59" Type="http://schemas.openxmlformats.org/officeDocument/2006/relationships/hyperlink" Target="https://node.epditaly.it/datasetdetail/process.xhtml?uuid=2de55445-2d1d-4037-baa2-110f132c3d9e&amp;version=00.03.000&amp;lang=en" TargetMode="External"/><Relationship Id="rId67" Type="http://schemas.openxmlformats.org/officeDocument/2006/relationships/hyperlink" Target="https://api.environdec.com/api/v1/EPDLibrary/Files/08e8581b-33e7-4738-566c-08da12da9675/Data" TargetMode="External"/><Relationship Id="rId20" Type="http://schemas.openxmlformats.org/officeDocument/2006/relationships/hyperlink" Target="https://www.en.aenor.com/Producto_DAP_pdf/GlobalEPD_002_028_ESP.pdf" TargetMode="External"/><Relationship Id="rId41" Type="http://schemas.openxmlformats.org/officeDocument/2006/relationships/hyperlink" Target="https://www.cenia.cz/wp-content/uploads/2023/05/certifikace-epd_cz_2022_fin.pdf" TargetMode="External"/><Relationship Id="rId54" Type="http://schemas.openxmlformats.org/officeDocument/2006/relationships/hyperlink" Target="https://node.epditaly.it/datasetdetail/process.xhtml?uuid=eb08b38b-83db-4684-801e-a0299c828fcb&amp;version=00.00.025&amp;lang=en" TargetMode="External"/><Relationship Id="rId62" Type="http://schemas.openxmlformats.org/officeDocument/2006/relationships/hyperlink" Target="https://node.epditaly.it/datasetdetail/process.xhtml?uuid=e912eeca-4060-4fe6-8cbb-f35b1272a0a0&amp;version=00.03.000&amp;lang=en" TargetMode="External"/><Relationship Id="rId70" Type="http://schemas.openxmlformats.org/officeDocument/2006/relationships/hyperlink" Target="https://data.lcadatabase.com/datasetdetail/process.xhtml?uuid=52c70755-82ae-4f2e-9df3-d095060e8342" TargetMode="External"/><Relationship Id="rId75" Type="http://schemas.openxmlformats.org/officeDocument/2006/relationships/hyperlink" Target="https://data.lcadatabase.com/datasetdetail/process.xhtml?uuid=425c74f3-0c17-4c74-a065-31e406ff69f4" TargetMode="External"/><Relationship Id="rId83" Type="http://schemas.openxmlformats.org/officeDocument/2006/relationships/hyperlink" Target="https://data.lcadatabase.com/datasetdetail/process.xhtml?uuid=52c70755-82ae-4f2e-9df3-d095060e8342" TargetMode="External"/><Relationship Id="rId88" Type="http://schemas.openxmlformats.org/officeDocument/2006/relationships/hyperlink" Target="https://data.lcadatabase.com/datasetdetail/process.xhtml?uuid=00ea9713-d4be-4d7a-8be6-371821257743" TargetMode="External"/><Relationship Id="rId91" Type="http://schemas.openxmlformats.org/officeDocument/2006/relationships/hyperlink" Target="https://epd.dijitalpanel.site/Upload/epdturkey.com/Products/Images/64db2f6d784e2-EN%20S-P-04821_Construction_Yurtbay_Wall%20Tile_EN_EPDTurkey.pdf" TargetMode="External"/><Relationship Id="rId96" Type="http://schemas.openxmlformats.org/officeDocument/2006/relationships/hyperlink" Target="https://manage.epdhub.com/" TargetMode="External"/><Relationship Id="rId1" Type="http://schemas.openxmlformats.org/officeDocument/2006/relationships/hyperlink" Target="https://www.en.aenor.com/Producto_DAP_pdf/GlobalEPD_002_043_ESP.pdf" TargetMode="External"/><Relationship Id="rId6" Type="http://schemas.openxmlformats.org/officeDocument/2006/relationships/hyperlink" Target="https://www.en.aenor.com/Producto_DAP_pdf/GlobalEPD_002_014_ESP.pdf" TargetMode="External"/><Relationship Id="rId15" Type="http://schemas.openxmlformats.org/officeDocument/2006/relationships/hyperlink" Target="https://www.en.aenor.com/Producto_DAP_pdf/GlobalEPD_002_023_ESP.pdf" TargetMode="External"/><Relationship Id="rId23" Type="http://schemas.openxmlformats.org/officeDocument/2006/relationships/hyperlink" Target="https://www.en.aenor.com/Producto_DAP_pdf/GlobalEPD_002_031_ESP.pdf" TargetMode="External"/><Relationship Id="rId28" Type="http://schemas.openxmlformats.org/officeDocument/2006/relationships/hyperlink" Target="https://www.en.aenor.com/Producto_DAP_pdf/GlobalEPD_002_036_ESP.pdf" TargetMode="External"/><Relationship Id="rId36" Type="http://schemas.openxmlformats.org/officeDocument/2006/relationships/hyperlink" Target="https://www.en.aenor.com/Producto_DAP_pdf/ARCANA%20CERAMICA%2c%20S.A.%20BIII_ENG.pdf" TargetMode="External"/><Relationship Id="rId49" Type="http://schemas.openxmlformats.org/officeDocument/2006/relationships/hyperlink" Target="https://data.environdec.com/datasetdetail/process.xhtml?uuid=beb3ff6a-9068-4653-aac3-7e2bab785b0c&amp;version=00.00.035&amp;lang=en" TargetMode="External"/><Relationship Id="rId57" Type="http://schemas.openxmlformats.org/officeDocument/2006/relationships/hyperlink" Target="https://node.epditaly.it/datasetdetail/process.xhtml?uuid=9ba3d1db-84fb-4dec-b3b0-af8f3e762539&amp;version=00.00.036&amp;lang=en" TargetMode="External"/><Relationship Id="rId10" Type="http://schemas.openxmlformats.org/officeDocument/2006/relationships/hyperlink" Target="https://www.en.aenor.com/Producto_DAP_pdf/GlobalEPD_002_018_ESP.pdf" TargetMode="External"/><Relationship Id="rId31" Type="http://schemas.openxmlformats.org/officeDocument/2006/relationships/hyperlink" Target="https://www.en.aenor.com/Producto_DAP_pdf/DAP%20MAINZU%20002-052%20BIa_ES.pdf" TargetMode="External"/><Relationship Id="rId44" Type="http://schemas.openxmlformats.org/officeDocument/2006/relationships/hyperlink" Target="https://daphabitat.pt/assets/Uploads/dap/pdfs/de3f8be6a9/DAP_GPP_LT_GresVidrado_2021_EN_final-MS.pdf" TargetMode="External"/><Relationship Id="rId52" Type="http://schemas.openxmlformats.org/officeDocument/2006/relationships/hyperlink" Target="https://node.epditaly.it/datasetdetail/process.xhtml?uuid=c749dc16-a727-433d-97cb-57262dd5d87a&amp;version=00.00.026&amp;lang=en" TargetMode="External"/><Relationship Id="rId60" Type="http://schemas.openxmlformats.org/officeDocument/2006/relationships/hyperlink" Target="https://node.epditaly.it/datasetdetail/process.xhtml?uuid=131ecb28-0bcd-4c5d-8a9a-e2f18a819960&amp;version=00.03.000&amp;lang=en" TargetMode="External"/><Relationship Id="rId65" Type="http://schemas.openxmlformats.org/officeDocument/2006/relationships/hyperlink" Target="https://ibudata.lca-data.com/datasetdetail/process.xhtml?uuid=98a6e52b-6e12-4542-afa7-371740748685&amp;version=00.01.000&amp;stock=PUBLIC&amp;lang=en" TargetMode="External"/><Relationship Id="rId73" Type="http://schemas.openxmlformats.org/officeDocument/2006/relationships/hyperlink" Target="https://data.lcadatabase.com/datasetdetail/process.xhtml?uuid=7303466d-0c5d-45a8-9c7b-d985bc4833b4" TargetMode="External"/><Relationship Id="rId78" Type="http://schemas.openxmlformats.org/officeDocument/2006/relationships/hyperlink" Target="https://data.lcadatabase.com/datasetdetail/process.xhtml?uuid=3660292c-9ed0-4fd9-b196-bf0c21bb0b7a" TargetMode="External"/><Relationship Id="rId81" Type="http://schemas.openxmlformats.org/officeDocument/2006/relationships/hyperlink" Target="https://data.lcadatabase.com/datasetdetail/process.xhtml?uuid=06369e1c-17c6-4fd3-95ef-1a7ed8fb71bc" TargetMode="External"/><Relationship Id="rId86" Type="http://schemas.openxmlformats.org/officeDocument/2006/relationships/hyperlink" Target="https://data.lcadatabase.com/datasetdetail/process.xhtml?uuid=b2b1d39c-706f-4266-882b-575a503e6aac" TargetMode="External"/><Relationship Id="rId94" Type="http://schemas.openxmlformats.org/officeDocument/2006/relationships/hyperlink" Target="https://epd.dijitalpanel.site/Upload/epdturkey.com/Products/Images/64ca494c883da-S-P-00874_Construction_PorcelainTile_Kaleseramik_EN_EPDTurkey.pdf" TargetMode="External"/><Relationship Id="rId99" Type="http://schemas.openxmlformats.org/officeDocument/2006/relationships/hyperlink" Target="https://epd-online.com/EmbeddedEpdList/Detail?id=15618" TargetMode="External"/><Relationship Id="rId101" Type="http://schemas.openxmlformats.org/officeDocument/2006/relationships/hyperlink" Target="https://www.mrpi.nl/epd-files/epd/1.1.00264.2022_MRPI-EPD_Mosa%20wall%20tile_FINAL.pdf" TargetMode="External"/><Relationship Id="rId4" Type="http://schemas.openxmlformats.org/officeDocument/2006/relationships/hyperlink" Target="https://www.en.aenor.com/Producto_DAP_pdf/DAP%20ROCERSA_BIII_ENG.pdf" TargetMode="External"/><Relationship Id="rId9" Type="http://schemas.openxmlformats.org/officeDocument/2006/relationships/hyperlink" Target="https://www.en.aenor.com/Producto_DAP_pdf/GlobalEPD_002_017_r1_ESP.pdf" TargetMode="External"/><Relationship Id="rId13" Type="http://schemas.openxmlformats.org/officeDocument/2006/relationships/hyperlink" Target="https://www.en.aenor.com/Producto_DAP_pdf/GlobalEPD_002_021_r1_ESP.pdf" TargetMode="External"/><Relationship Id="rId18" Type="http://schemas.openxmlformats.org/officeDocument/2006/relationships/hyperlink" Target="https://www.en.aenor.com/Producto_DAP_pdf/GlobalEPD_002_026_ESP.pdf" TargetMode="External"/><Relationship Id="rId39" Type="http://schemas.openxmlformats.org/officeDocument/2006/relationships/hyperlink" Target="https://www.en.aenor.com/Producto_DAP_pdf/DAP%20ROCERSA_BIa_ENG.pdf" TargetMode="External"/><Relationship Id="rId34" Type="http://schemas.openxmlformats.org/officeDocument/2006/relationships/hyperlink" Target="https://www.en.aenor.com/Producto_DAP_pdf/VIVES%20AZULEJOS%20Y%20GRES%2c%20S.A.%20BIII_ENG.pdf" TargetMode="External"/><Relationship Id="rId50" Type="http://schemas.openxmlformats.org/officeDocument/2006/relationships/hyperlink" Target="https://data.environdec.com/datasetdetail/process.xhtml?uuid=480447b8-6945-4343-9f43-28d5268fc3a0&amp;version=00.00.031&amp;lang=en" TargetMode="External"/><Relationship Id="rId55" Type="http://schemas.openxmlformats.org/officeDocument/2006/relationships/hyperlink" Target="https://node.epditaly.it/datasetdetail/process.xhtml?uuid=a5b30dbe-9b5b-4b73-b28f-86c7a10e6242&amp;version=00.00.026&amp;lang=en" TargetMode="External"/><Relationship Id="rId76" Type="http://schemas.openxmlformats.org/officeDocument/2006/relationships/hyperlink" Target="https://data.lcadatabase.com/datasetdetail/process.xhtml?uuid=e64612b4-5c1b-48ef-b3ac-11f80be1c0fd" TargetMode="External"/><Relationship Id="rId97" Type="http://schemas.openxmlformats.org/officeDocument/2006/relationships/hyperlink" Target="https://epd-online.com/EmbeddedEpdList/Detail?id=12415" TargetMode="External"/><Relationship Id="rId7" Type="http://schemas.openxmlformats.org/officeDocument/2006/relationships/hyperlink" Target="https://www.en.aenor.com/Producto_DAP_pdf/GlobalEPD_002_015_ESP.pdf" TargetMode="External"/><Relationship Id="rId71" Type="http://schemas.openxmlformats.org/officeDocument/2006/relationships/hyperlink" Target="https://data.lcadatabase.com/datasetdetail/process.xhtml?uuid=7fb38fa8-07f8-4d92-a4f6-0f80f22fae85" TargetMode="External"/><Relationship Id="rId92" Type="http://schemas.openxmlformats.org/officeDocument/2006/relationships/hyperlink" Target="https://epd.dijitalpanel.site/Upload/epdturkey.com/Products/Images/64db533ae2a0a-EN%20S-P-04102_Construction_Graniser_Wall%20Tiles_EN_EPDTurkey.pdf" TargetMode="External"/><Relationship Id="rId2" Type="http://schemas.openxmlformats.org/officeDocument/2006/relationships/hyperlink" Target="https://www.en.aenor.com/Producto_DAP_pdf/DAP_Grespania_002-044%20BIa%20ENG.pdf" TargetMode="External"/><Relationship Id="rId29" Type="http://schemas.openxmlformats.org/officeDocument/2006/relationships/hyperlink" Target="https://www.en.aenor.com/Producto_DAP_pdf/DAP_EQUIPE_002-050%20BIa_ENG.pdf" TargetMode="External"/><Relationship Id="rId24" Type="http://schemas.openxmlformats.org/officeDocument/2006/relationships/hyperlink" Target="https://www.en.aenor.com/Producto_DAP_pdf/GlobalEPD_002_032_ESP.pdf" TargetMode="External"/><Relationship Id="rId40" Type="http://schemas.openxmlformats.org/officeDocument/2006/relationships/hyperlink" Target="https://www.en.aenor.com/Producto_DAP_pdf/DAP%20GlobalEPD%20EN%2017160%20-%20008%20Azulejo%20BIII%20IN%20.pdf" TargetMode="External"/><Relationship Id="rId45" Type="http://schemas.openxmlformats.org/officeDocument/2006/relationships/hyperlink" Target="https://daphabitat.pt/assets/Uploads/dap/pdfs/016e888987/DAP-012-2022_EN_Pavigres_1.pdf" TargetMode="External"/><Relationship Id="rId66" Type="http://schemas.openxmlformats.org/officeDocument/2006/relationships/hyperlink" Target="https://api.environdec.com/api/v1/EPDLibrary/Files/ccef3aaa-c7ac-451c-c264-08da3724454d/Data" TargetMode="External"/><Relationship Id="rId87" Type="http://schemas.openxmlformats.org/officeDocument/2006/relationships/hyperlink" Target="https://data.lcadatabase.com/datasetdetail/process.xhtml?uuid=0d1541ba-3a85-4047-9b01-267757cae689" TargetMode="External"/><Relationship Id="rId61" Type="http://schemas.openxmlformats.org/officeDocument/2006/relationships/hyperlink" Target="https://node.epditaly.it/datasetdetail/process.xhtml?uuid=73fb6f26-13d7-496c-bc72-eb99fe42528f&amp;version=00.03.000&amp;lang=en" TargetMode="External"/><Relationship Id="rId82" Type="http://schemas.openxmlformats.org/officeDocument/2006/relationships/hyperlink" Target="https://data.lcadatabase.com/datasetdetail/process.xhtml?uuid=2610f976-9424-4a8c-b92e-10b865781526" TargetMode="External"/><Relationship Id="rId19" Type="http://schemas.openxmlformats.org/officeDocument/2006/relationships/hyperlink" Target="https://www.en.aenor.com/Producto_DAP_pdf/GlobalEPD_002_027_ESP.pdf" TargetMode="External"/><Relationship Id="rId14" Type="http://schemas.openxmlformats.org/officeDocument/2006/relationships/hyperlink" Target="https://www.en.aenor.com/Producto_DAP_pdf/GlobalEPD_002_022_ESP.pdf" TargetMode="External"/><Relationship Id="rId30" Type="http://schemas.openxmlformats.org/officeDocument/2006/relationships/hyperlink" Target="https://www.en.aenor.com/Producto_DAP_pdf/DAP_EQUIPE_002-051%20BIII_ENG.pdf" TargetMode="External"/><Relationship Id="rId35" Type="http://schemas.openxmlformats.org/officeDocument/2006/relationships/hyperlink" Target="https://www.en.aenor.com/Producto_DAP_pdf/ARCANA%20CERAMICA%2c%20S.A.%20BIII_ENG.pdf" TargetMode="External"/><Relationship Id="rId56" Type="http://schemas.openxmlformats.org/officeDocument/2006/relationships/hyperlink" Target="https://node.epditaly.it/datasetdetail/process.xhtml?uuid=c1a9158c-d3a9-41f5-b7c2-5fe454e4f014&amp;version=00.00.025&amp;lang=en" TargetMode="External"/><Relationship Id="rId77" Type="http://schemas.openxmlformats.org/officeDocument/2006/relationships/hyperlink" Target="https://data.lcadatabase.com/datasetdetail/process.xhtml?uuid=017be176-9533-4474-af6e-fc535799175f" TargetMode="External"/><Relationship Id="rId100" Type="http://schemas.openxmlformats.org/officeDocument/2006/relationships/hyperlink" Target="https://epd-online.com/EmbeddedEpdList/Detail?id=16450" TargetMode="External"/><Relationship Id="rId8" Type="http://schemas.openxmlformats.org/officeDocument/2006/relationships/hyperlink" Target="https://www.en.aenor.com/Producto_DAP_pdf/GlobalEPD_002_016_ESP.pdf" TargetMode="External"/><Relationship Id="rId51" Type="http://schemas.openxmlformats.org/officeDocument/2006/relationships/hyperlink" Target="https://data.environdec.com/datasetdetail/process.xhtml?uuid=2609eb24-4ccc-41af-8e0f-3079f619f1e2&amp;version=00.00.033&amp;lang=en" TargetMode="External"/><Relationship Id="rId72" Type="http://schemas.openxmlformats.org/officeDocument/2006/relationships/hyperlink" Target="https://data.lcadatabase.com/datasetdetail/process.xhtml?uuid=f195d9eb-a403-43a2-868b-868bf4b4daed" TargetMode="External"/><Relationship Id="rId93" Type="http://schemas.openxmlformats.org/officeDocument/2006/relationships/hyperlink" Target="https://epd.dijitalpanel.site/Upload/epdturkey.com/Products/Images/64ca48223426a-S-P-00873_Construction_WallTile_Kaleseramik_EN_EPDTurkey.pdf" TargetMode="External"/><Relationship Id="rId98" Type="http://schemas.openxmlformats.org/officeDocument/2006/relationships/hyperlink" Target="https://epd-online.com/EmbeddedEpdList/Detail?id=12416" TargetMode="External"/><Relationship Id="rId3" Type="http://schemas.openxmlformats.org/officeDocument/2006/relationships/hyperlink" Target="https://www.en.aenor.com/Producto_DAP_pdf/DAP_Grespania_002-045%20BIII%20ENG.pdf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budata.lca-data.com/datasetdetail/process.xhtml?uuid=0bab722a-77b2-46e2-a32e-89dd32ffe24e&amp;version=00.06.000&amp;stock=PUBLIC&amp;lang=en" TargetMode="External"/><Relationship Id="rId18" Type="http://schemas.openxmlformats.org/officeDocument/2006/relationships/hyperlink" Target="https://ibudata.lca-data.com/datasetdetail/process.xhtml?uuid=f184aab3-aa3c-434e-9728-4d5a8e5cdd14&amp;version=00.02.000&amp;stock=PUBLIC&amp;lang=en" TargetMode="External"/><Relationship Id="rId26" Type="http://schemas.openxmlformats.org/officeDocument/2006/relationships/hyperlink" Target="https://api.environdec.com/api/v1/EPDLibrary/Files/075acc06-3096-494f-932e-db8eb3cf546a/Data" TargetMode="External"/><Relationship Id="rId3" Type="http://schemas.openxmlformats.org/officeDocument/2006/relationships/hyperlink" Target="https://ibudata.lca-data.com/datasetdetail/process.xhtml?uuid=f4ed9f09-260c-47f6-9997-b5169adadf03&amp;version=00.05.000&amp;stock=PUBLIC&amp;lang=en" TargetMode="External"/><Relationship Id="rId21" Type="http://schemas.openxmlformats.org/officeDocument/2006/relationships/hyperlink" Target="https://ibudata.lca-data.com/datasetdetail/process.xhtml?uuid=719759c9-a53d-46ca-ad3f-0f0efbde4d84&amp;version=00.02.000&amp;stock=PUBLIC&amp;lang=en" TargetMode="External"/><Relationship Id="rId34" Type="http://schemas.openxmlformats.org/officeDocument/2006/relationships/hyperlink" Target="https://www.base-inies.fr/iniesV4/dist/infos-produit" TargetMode="External"/><Relationship Id="rId7" Type="http://schemas.openxmlformats.org/officeDocument/2006/relationships/hyperlink" Target="https://ibudata.lca-data.com/datasetdetail/process.xhtml?uuid=5850e9d0-3454-4ba9-8661-88b465720ed6&amp;version=00.05.000&amp;stock=PUBLIC&amp;lang=en" TargetMode="External"/><Relationship Id="rId12" Type="http://schemas.openxmlformats.org/officeDocument/2006/relationships/hyperlink" Target="https://ibudata.lca-data.com/datasetdetail/process.xhtml?uuid=59debe2f-35da-4116-8d16-3cb8a1ec1de6&amp;version=00.04.000&amp;stock=PUBLIC&amp;lang=en" TargetMode="External"/><Relationship Id="rId17" Type="http://schemas.openxmlformats.org/officeDocument/2006/relationships/hyperlink" Target="https://ibudata.lca-data.com/datasetdetail/process.xhtml?uuid=e880811f-f90f-472c-8257-7ad04cceec5f&amp;version=00.02.000&amp;stock=PUBLIC&amp;lang=en" TargetMode="External"/><Relationship Id="rId25" Type="http://schemas.openxmlformats.org/officeDocument/2006/relationships/hyperlink" Target="https://api.environdec.com/api/v1/EPDLibrary/Files/075acc06-3096-494f-932e-db8eb3cf546a/Data" TargetMode="External"/><Relationship Id="rId33" Type="http://schemas.openxmlformats.org/officeDocument/2006/relationships/hyperlink" Target="https://api.environdec.com/api/v1/EPDLibrary/Files/5be3727f-f5e0-4fc0-1669-08da0fd87809/Data" TargetMode="External"/><Relationship Id="rId2" Type="http://schemas.openxmlformats.org/officeDocument/2006/relationships/hyperlink" Target="https://ibudata.lca-data.com/datasetdetail/process.xhtml?uuid=db56f54d-1f0e-47a4-9d64-91767b016c91&amp;version=00.01.000&amp;stock=PUBLIC&amp;lang=en" TargetMode="External"/><Relationship Id="rId16" Type="http://schemas.openxmlformats.org/officeDocument/2006/relationships/hyperlink" Target="https://ibudata.lca-data.com/datasetdetail/process.xhtml?uuid=09f14961-a247-4cd8-94d9-71be817bab9b&amp;version=00.02.000&amp;stock=PUBLIC&amp;lang=en" TargetMode="External"/><Relationship Id="rId20" Type="http://schemas.openxmlformats.org/officeDocument/2006/relationships/hyperlink" Target="https://ibudata.lca-data.com/datasetdetail/process.xhtml?uuid=edab317d-6e11-44ad-a679-7af509d3f565&amp;version=00.02.000&amp;stock=PUBLIC&amp;lang=en" TargetMode="External"/><Relationship Id="rId29" Type="http://schemas.openxmlformats.org/officeDocument/2006/relationships/hyperlink" Target="https://api.environdec.com/api/v1/EPDLibrary/Files/075acc06-3096-494f-932e-db8eb3cf546a/Data" TargetMode="External"/><Relationship Id="rId1" Type="http://schemas.openxmlformats.org/officeDocument/2006/relationships/hyperlink" Target="https://node.epditaly.it/datasetdetail/process.xhtml?uuid=3c5bc379-52c4-4c33-92c8-a05ab0762835&amp;version=00.03.000&amp;lang=en" TargetMode="External"/><Relationship Id="rId6" Type="http://schemas.openxmlformats.org/officeDocument/2006/relationships/hyperlink" Target="https://ibudata.lca-data.com/datasetdetail/process.xhtml?uuid=9a0cee45-9e87-4ebd-ba21-9d47b65dd882&amp;version=00.02.000&amp;stock=PUBLIC&amp;lang=en" TargetMode="External"/><Relationship Id="rId11" Type="http://schemas.openxmlformats.org/officeDocument/2006/relationships/hyperlink" Target="https://ibudata.lca-data.com/datasetdetail/process.xhtml?uuid=ffae3994-e0e3-4ef7-9190-624f34b8d971&amp;version=00.05.000&amp;stock=PUBLIC&amp;lang=en" TargetMode="External"/><Relationship Id="rId24" Type="http://schemas.openxmlformats.org/officeDocument/2006/relationships/hyperlink" Target="https://www.epddanmark.dk/media/4y3d0jsw/md-19003-en-dampa-aps-taim-e-v.pdf" TargetMode="External"/><Relationship Id="rId32" Type="http://schemas.openxmlformats.org/officeDocument/2006/relationships/hyperlink" Target="https://api.environdec.com/api/v1/EPDLibrary/Files/1d3b9fb8-cfbd-4042-530d-08dbd569605a/Data" TargetMode="External"/><Relationship Id="rId5" Type="http://schemas.openxmlformats.org/officeDocument/2006/relationships/hyperlink" Target="https://ibudata.lca-data.com/datasetdetail/process.xhtml?uuid=7eba0cf5-efd0-44c9-bc03-3b5cc304b5f7&amp;version=00.02.000&amp;stock=PUBLIC&amp;lang=en" TargetMode="External"/><Relationship Id="rId15" Type="http://schemas.openxmlformats.org/officeDocument/2006/relationships/hyperlink" Target="https://ibudata.lca-data.com/datasetdetail/process.xhtml?uuid=373b5e70-413e-4940-9896-eaa211456d62&amp;version=00.02.000&amp;stock=PUBLIC&amp;lang=en" TargetMode="External"/><Relationship Id="rId23" Type="http://schemas.openxmlformats.org/officeDocument/2006/relationships/hyperlink" Target="https://ibudata.lca-data.com/datasetdetail/process.xhtml?uuid=dc0557ec-f724-4b61-b25d-38665cbad37b&amp;version=00.02.000&amp;stock=PUBLIC&amp;lang=en" TargetMode="External"/><Relationship Id="rId28" Type="http://schemas.openxmlformats.org/officeDocument/2006/relationships/hyperlink" Target="https://api.environdec.com/api/v1/EPDLibrary/Files/075acc06-3096-494f-932e-db8eb3cf546a/Data" TargetMode="External"/><Relationship Id="rId36" Type="http://schemas.openxmlformats.org/officeDocument/2006/relationships/hyperlink" Target="https://www.base-inies.fr/iniesV4/dist/infos-produit" TargetMode="External"/><Relationship Id="rId10" Type="http://schemas.openxmlformats.org/officeDocument/2006/relationships/hyperlink" Target="https://ibudata.lca-data.com/datasetdetail/process.xhtml?uuid=f56d9fdc-d979-4c70-b81a-e1d8623d8132&amp;version=00.05.000&amp;stock=PUBLIC&amp;lang=en" TargetMode="External"/><Relationship Id="rId19" Type="http://schemas.openxmlformats.org/officeDocument/2006/relationships/hyperlink" Target="https://ibudata.lca-data.com/datasetdetail/process.xhtml?uuid=b58dbd43-6e4b-4b24-89c6-f8abf26a0753&amp;version=00.04.000&amp;stock=PUBLIC&amp;lang=en" TargetMode="External"/><Relationship Id="rId31" Type="http://schemas.openxmlformats.org/officeDocument/2006/relationships/hyperlink" Target="https://api.environdec.com/api/v1/EPDLibrary/Files/075acc06-3096-494f-932e-db8eb3cf546a/Data" TargetMode="External"/><Relationship Id="rId4" Type="http://schemas.openxmlformats.org/officeDocument/2006/relationships/hyperlink" Target="https://ibudata.lca-data.com/datasetdetail/process.xhtml?uuid=092a66fb-611b-479c-b434-5fae1aaabb3e&amp;version=00.05.000&amp;stock=PUBLIC&amp;lang=en" TargetMode="External"/><Relationship Id="rId9" Type="http://schemas.openxmlformats.org/officeDocument/2006/relationships/hyperlink" Target="https://ibudata.lca-data.com/datasetdetail/process.xhtml?uuid=c30a62cf-8dba-4e73-af10-e23195c93c27&amp;version=00.04.000&amp;stock=PUBLIC&amp;lang=en" TargetMode="External"/><Relationship Id="rId14" Type="http://schemas.openxmlformats.org/officeDocument/2006/relationships/hyperlink" Target="https://ibudata.lca-data.com/datasetdetail/process.xhtml?uuid=7607c965-2352-4394-9afb-7764538c9be3&amp;version=00.05.000&amp;stock=PUBLIC&amp;lang=en" TargetMode="External"/><Relationship Id="rId22" Type="http://schemas.openxmlformats.org/officeDocument/2006/relationships/hyperlink" Target="https://ibudata.lca-data.com/datasetdetail/process.xhtml?uuid=eebfc74f-5651-4d43-a2aa-f04b66ff8a4c&amp;version=00.03.000&amp;stock=PUBLIC&amp;lang=en" TargetMode="External"/><Relationship Id="rId27" Type="http://schemas.openxmlformats.org/officeDocument/2006/relationships/hyperlink" Target="https://api.environdec.com/api/v1/EPDLibrary/Files/075acc06-3096-494f-932e-db8eb3cf546a/Data" TargetMode="External"/><Relationship Id="rId30" Type="http://schemas.openxmlformats.org/officeDocument/2006/relationships/hyperlink" Target="https://api.environdec.com/api/v1/EPDLibrary/Files/075acc06-3096-494f-932e-db8eb3cf546a/Data" TargetMode="External"/><Relationship Id="rId35" Type="http://schemas.openxmlformats.org/officeDocument/2006/relationships/hyperlink" Target="https://www.base-inies.fr/iniesV4/dist/infos-produit" TargetMode="External"/><Relationship Id="rId8" Type="http://schemas.openxmlformats.org/officeDocument/2006/relationships/hyperlink" Target="https://ibudata.lca-data.com/datasetdetail/process.xhtml?uuid=f1671433-b3ff-4932-8168-11c1b5783c6f&amp;version=00.04.000&amp;stock=PUBLIC&amp;lang=e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environdec.com/api/v1/EPDLibrary/Files/c87447d3-3041-4ccf-5324-08dbd569605a/Data" TargetMode="External"/><Relationship Id="rId1" Type="http://schemas.openxmlformats.org/officeDocument/2006/relationships/hyperlink" Target="https://www.lindner-group.com/fileadmin/user_upload/intranet/service/green_building/upds/boden/epd-gm-b-001-nortec--en.pdf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oekobaudat.de/OEKOBAU.DAT/datasetdetail/process.xhtml?uuid=fc1c6f12-1e04-4c51-9836-81a4d7743528&amp;version=20.23.050&amp;stock=OBD_2023_I&amp;lang=en" TargetMode="External"/><Relationship Id="rId21" Type="http://schemas.openxmlformats.org/officeDocument/2006/relationships/hyperlink" Target="https://epdnorway.lca-data.com/datasetdetail/process.xhtml?uuid=592da8b5-de5c-488e-8e2d-bf123945b5bc&amp;version=00.03.001&amp;stock=PUBLIC&amp;lang=en" TargetMode="External"/><Relationship Id="rId42" Type="http://schemas.openxmlformats.org/officeDocument/2006/relationships/hyperlink" Target="https://epdnorway.lca-data.com/datasetdetail/process.xhtml?uuid=b710a8c9-c845-4692-8069-5f06eada5645&amp;version=00.04.000&amp;stock=PUBLIC&amp;lang=en" TargetMode="External"/><Relationship Id="rId63" Type="http://schemas.openxmlformats.org/officeDocument/2006/relationships/hyperlink" Target="https://manage.epdhub.com/" TargetMode="External"/><Relationship Id="rId84" Type="http://schemas.openxmlformats.org/officeDocument/2006/relationships/hyperlink" Target="https://api.environdec.com/api/v1/EPDLibrary/Files/b330e488-ed85-48f2-341e-08d8d4a0e2bb/Data" TargetMode="External"/><Relationship Id="rId16" Type="http://schemas.openxmlformats.org/officeDocument/2006/relationships/hyperlink" Target="https://epdnorway.lca-data.com/datasetdetail/process.xhtml?uuid=c50fea97-7818-47ce-9281-2cc26014001a&amp;version=00.03.001&amp;stock=PUBLIC&amp;lang=en" TargetMode="External"/><Relationship Id="rId107" Type="http://schemas.openxmlformats.org/officeDocument/2006/relationships/hyperlink" Target="https://www.base-inies.fr/iniesV4/dist/infos-produit" TargetMode="External"/><Relationship Id="rId11" Type="http://schemas.openxmlformats.org/officeDocument/2006/relationships/hyperlink" Target="https://node.epditaly.it/datasetdetail/process.xhtml?uuid=10331b0b-f037-4713-9315-ed8b69e479d4&amp;version=00.03.000&amp;lang=en" TargetMode="External"/><Relationship Id="rId32" Type="http://schemas.openxmlformats.org/officeDocument/2006/relationships/hyperlink" Target="https://epdnorway.lca-data.com/resource/datastocks/91413340-7bf0-4f88-a952-0f91cba685df/processes/dfd03514-38a2-4e5a-95c1-b625eb1d4144/epd?version=00.03.000" TargetMode="External"/><Relationship Id="rId37" Type="http://schemas.openxmlformats.org/officeDocument/2006/relationships/hyperlink" Target="https://epdnorway.lca-data.com/resource/datastocks/91413340-7bf0-4f88-a952-0f91cba685df/processes/8b38c66f-9881-4e20-a344-c9ce60a24549/epd?version=00.03.000" TargetMode="External"/><Relationship Id="rId53" Type="http://schemas.openxmlformats.org/officeDocument/2006/relationships/hyperlink" Target="https://manage.epdhub.com/" TargetMode="External"/><Relationship Id="rId58" Type="http://schemas.openxmlformats.org/officeDocument/2006/relationships/hyperlink" Target="https://manage.epdhub.com/" TargetMode="External"/><Relationship Id="rId74" Type="http://schemas.openxmlformats.org/officeDocument/2006/relationships/hyperlink" Target="https://api.environdec.com/api/v1/EPDLibrary/Files/cec21caa-9662-4d2d-cdce-08d9df0ea78f/Data" TargetMode="External"/><Relationship Id="rId79" Type="http://schemas.openxmlformats.org/officeDocument/2006/relationships/hyperlink" Target="https://api.environdec.com/api/v1/EPDLibrary/Files/f5bf5a21-223c-403e-816f-08d941d5f1c9/Data" TargetMode="External"/><Relationship Id="rId102" Type="http://schemas.openxmlformats.org/officeDocument/2006/relationships/hyperlink" Target="https://www.base-inies.fr/iniesV4/dist/infos-produit" TargetMode="External"/><Relationship Id="rId123" Type="http://schemas.openxmlformats.org/officeDocument/2006/relationships/hyperlink" Target="https://oekobaudat.de/OEKOBAU.DAT/datasetdetail/process.xhtml?uuid=a198cf71-f033-4b76-9228-d22ca191b2f6&amp;version=20.23.050&amp;stock=OBD_2023_I&amp;lang=en" TargetMode="External"/><Relationship Id="rId128" Type="http://schemas.openxmlformats.org/officeDocument/2006/relationships/hyperlink" Target="https://cer.rts.fi/wp-content/uploads/rts_173_22-uponor-corporation_combi-pipes_epd.pdf" TargetMode="External"/><Relationship Id="rId5" Type="http://schemas.openxmlformats.org/officeDocument/2006/relationships/hyperlink" Target="https://www.greenbooklive.com/pdfdocs/en15804epd/BREGENEPD000478.pdf" TargetMode="External"/><Relationship Id="rId90" Type="http://schemas.openxmlformats.org/officeDocument/2006/relationships/hyperlink" Target="https://www.base-inies.fr/iniesV4/dist/infos-produit" TargetMode="External"/><Relationship Id="rId95" Type="http://schemas.openxmlformats.org/officeDocument/2006/relationships/hyperlink" Target="https://www.base-inies.fr/iniesV4/dist/infos-produit" TargetMode="External"/><Relationship Id="rId22" Type="http://schemas.openxmlformats.org/officeDocument/2006/relationships/hyperlink" Target="https://epdnorway.lca-data.com/datasetdetail/process.xhtml?uuid=1e35d067-7242-423a-af8a-d718df8783ee&amp;version=00.03.001&amp;stock=PUBLIC&amp;lang=en" TargetMode="External"/><Relationship Id="rId27" Type="http://schemas.openxmlformats.org/officeDocument/2006/relationships/hyperlink" Target="https://epdnorway.lca-data.com/datasetdetail/process.xhtml?uuid=3354417f-b980-48ec-9db1-30e1cd018645&amp;version=00.03.001&amp;stock=PUBLIC&amp;lang=en" TargetMode="External"/><Relationship Id="rId43" Type="http://schemas.openxmlformats.org/officeDocument/2006/relationships/hyperlink" Target="https://epdnorway.lca-data.com/datasetdetail/process.xhtml?uuid=54595a96-9c5c-45bc-a55d-cdcdd286dea4&amp;version=00.03.001&amp;stock=PUBLIC&amp;lang=en" TargetMode="External"/><Relationship Id="rId48" Type="http://schemas.openxmlformats.org/officeDocument/2006/relationships/hyperlink" Target="https://manage.epdhub.com/" TargetMode="External"/><Relationship Id="rId64" Type="http://schemas.openxmlformats.org/officeDocument/2006/relationships/hyperlink" Target="https://manage.epdhub.com/" TargetMode="External"/><Relationship Id="rId69" Type="http://schemas.openxmlformats.org/officeDocument/2006/relationships/hyperlink" Target="https://api.environdec.com/api/v1/EPDLibrary/Files/fbbaf15c-6386-49db-81fd-08d941d5f1c9/Data" TargetMode="External"/><Relationship Id="rId113" Type="http://schemas.openxmlformats.org/officeDocument/2006/relationships/hyperlink" Target="https://www.base-inies.fr/iniesV4/dist/infos-produit" TargetMode="External"/><Relationship Id="rId118" Type="http://schemas.openxmlformats.org/officeDocument/2006/relationships/hyperlink" Target="https://oekobaudat.de/OEKOBAU.DAT/datasetdetail/process.xhtml?uuid=5a9bb863-f67d-4b2c-b34f-3eb8ed1c8b42&amp;version=20.23.050&amp;stock=OBD_2023_I&amp;lang=en" TargetMode="External"/><Relationship Id="rId80" Type="http://schemas.openxmlformats.org/officeDocument/2006/relationships/hyperlink" Target="https://api.environdec.com/api/v1/EPDLibrary/Files/f5bf5a21-223c-403e-816f-08d941d5f1c9/Data" TargetMode="External"/><Relationship Id="rId85" Type="http://schemas.openxmlformats.org/officeDocument/2006/relationships/hyperlink" Target="https://www.base-inies.fr/iniesV4/dist/infos-produit" TargetMode="External"/><Relationship Id="rId12" Type="http://schemas.openxmlformats.org/officeDocument/2006/relationships/hyperlink" Target="https://node.epditaly.it/datasetdetail/process.xhtml?uuid=0f3ae6eb-563f-471b-810a-a018cec5bc34&amp;version=00.00.028&amp;lang=en" TargetMode="External"/><Relationship Id="rId17" Type="http://schemas.openxmlformats.org/officeDocument/2006/relationships/hyperlink" Target="https://epdnorway.lca-data.com/datasetdetail/process.xhtml?uuid=ca9e0e3f-de12-4b27-928c-5803d97bf075&amp;version=00.04.001&amp;stock=PUBLIC&amp;lang=en" TargetMode="External"/><Relationship Id="rId33" Type="http://schemas.openxmlformats.org/officeDocument/2006/relationships/hyperlink" Target="https://epdnorway.lca-data.com/datasetdetail/process.xhtml?uuid=c9c9416f-97c3-49a8-8794-7ec06d581624&amp;version=00.03.000&amp;stock=PUBLIC&amp;lang=en" TargetMode="External"/><Relationship Id="rId38" Type="http://schemas.openxmlformats.org/officeDocument/2006/relationships/hyperlink" Target="https://epdnorway.lca-data.com/resource/datastocks/91413340-7bf0-4f88-a952-0f91cba685df/processes/ce30afea-c29b-461d-8b28-94fc30d7f227/epd?version=00.03.000" TargetMode="External"/><Relationship Id="rId59" Type="http://schemas.openxmlformats.org/officeDocument/2006/relationships/hyperlink" Target="https://manage.epdhub.com/" TargetMode="External"/><Relationship Id="rId103" Type="http://schemas.openxmlformats.org/officeDocument/2006/relationships/hyperlink" Target="https://www.base-inies.fr/iniesV4/dist/infos-produit" TargetMode="External"/><Relationship Id="rId108" Type="http://schemas.openxmlformats.org/officeDocument/2006/relationships/hyperlink" Target="https://www.base-inies.fr/iniesV4/dist/infos-produit" TargetMode="External"/><Relationship Id="rId124" Type="http://schemas.openxmlformats.org/officeDocument/2006/relationships/hyperlink" Target="https://oekobaudat.de/OEKOBAU.DAT/datasetdetail/process.xhtml?uuid=88558ef9-479f-405e-9e94-e36f817a3620&amp;version=20.23.050&amp;stock=OBD_2023_I&amp;lang=en" TargetMode="External"/><Relationship Id="rId129" Type="http://schemas.openxmlformats.org/officeDocument/2006/relationships/hyperlink" Target="https://cer.rts.fi/wp-content/uploads/rts_164_22-unipipeplus_epd_08-10_nov-09_2021_qianwang_nov-24_final_0117.pdf" TargetMode="External"/><Relationship Id="rId54" Type="http://schemas.openxmlformats.org/officeDocument/2006/relationships/hyperlink" Target="https://manage.epdhub.com/" TargetMode="External"/><Relationship Id="rId70" Type="http://schemas.openxmlformats.org/officeDocument/2006/relationships/hyperlink" Target="https://api.environdec.com/api/v1/EPDLibrary/Files/d148be70-64ea-4be4-1556-08daab5a6b31/Data" TargetMode="External"/><Relationship Id="rId75" Type="http://schemas.openxmlformats.org/officeDocument/2006/relationships/hyperlink" Target="https://api.environdec.com/api/v1/EPDLibrary/Files/f5bf5a21-223c-403e-816f-08d941d5f1c9/Data" TargetMode="External"/><Relationship Id="rId91" Type="http://schemas.openxmlformats.org/officeDocument/2006/relationships/hyperlink" Target="https://www.base-inies.fr/iniesV4/dist/infos-produit" TargetMode="External"/><Relationship Id="rId96" Type="http://schemas.openxmlformats.org/officeDocument/2006/relationships/hyperlink" Target="https://www.base-inies.fr/iniesV4/dist/infos-produit" TargetMode="External"/><Relationship Id="rId1" Type="http://schemas.openxmlformats.org/officeDocument/2006/relationships/hyperlink" Target="https://www.en.aenor.com/Producto_DAP_pdf/DAP%20Heliroma%20GEPD%20EN15804-016%20Final%20eng.pdf" TargetMode="External"/><Relationship Id="rId6" Type="http://schemas.openxmlformats.org/officeDocument/2006/relationships/hyperlink" Target="https://www.greenbooklive.com/pdfdocs/en15804epd/BREGENEPD000476.pdf" TargetMode="External"/><Relationship Id="rId23" Type="http://schemas.openxmlformats.org/officeDocument/2006/relationships/hyperlink" Target="https://epdnorway.lca-data.com/datasetdetail/process.xhtml?uuid=8bab6010-5d46-472f-a28c-a676ce7ebeb4&amp;version=00.03.001&amp;stock=PUBLIC&amp;lang=en" TargetMode="External"/><Relationship Id="rId28" Type="http://schemas.openxmlformats.org/officeDocument/2006/relationships/hyperlink" Target="https://epdnorway.lca-data.com/datasetdetail/process.xhtml?uuid=be2d5880-f014-4a47-a771-927a24a1ca54&amp;version=00.03.001&amp;stock=PUBLIC&amp;lang=en" TargetMode="External"/><Relationship Id="rId49" Type="http://schemas.openxmlformats.org/officeDocument/2006/relationships/hyperlink" Target="https://manage.epdhub.com/" TargetMode="External"/><Relationship Id="rId114" Type="http://schemas.openxmlformats.org/officeDocument/2006/relationships/hyperlink" Target="https://oekobaudat.de/OEKOBAU.DAT/datasetdetail/process.xhtml?uuid=5cddd8d6-f777-4c55-99c4-7f8cb9f23a75&amp;version=20.23.050&amp;stock=OBD_2023_I&amp;lang=en" TargetMode="External"/><Relationship Id="rId119" Type="http://schemas.openxmlformats.org/officeDocument/2006/relationships/hyperlink" Target="https://oekobaudat.de/OEKOBAU.DAT/datasetdetail/process.xhtml?uuid=8c53cf57-5414-449f-9a1e-c0041657fd50&amp;version=20.23.050&amp;stock=OBD_2023_I&amp;lang=en" TargetMode="External"/><Relationship Id="rId44" Type="http://schemas.openxmlformats.org/officeDocument/2006/relationships/hyperlink" Target="https://epdnorway.lca-data.com/datasetdetail/process.xhtml?uuid=729f0d9c-483d-44a2-be53-6d6414c0723a&amp;version=00.04.000&amp;stock=PUBLIC&amp;lang=en" TargetMode="External"/><Relationship Id="rId60" Type="http://schemas.openxmlformats.org/officeDocument/2006/relationships/hyperlink" Target="https://manage.epdhub.com/" TargetMode="External"/><Relationship Id="rId65" Type="http://schemas.openxmlformats.org/officeDocument/2006/relationships/hyperlink" Target="https://manage.epdhub.com/" TargetMode="External"/><Relationship Id="rId81" Type="http://schemas.openxmlformats.org/officeDocument/2006/relationships/hyperlink" Target="https://api.environdec.com/api/v1/EPDLibrary/Files/f5bf5a21-223c-403e-816f-08d941d5f1c9/Data" TargetMode="External"/><Relationship Id="rId86" Type="http://schemas.openxmlformats.org/officeDocument/2006/relationships/hyperlink" Target="https://www.base-inies.fr/iniesV4/dist/infos-produit" TargetMode="External"/><Relationship Id="rId130" Type="http://schemas.openxmlformats.org/officeDocument/2006/relationships/hyperlink" Target="https://cer.rts.fi/wp-content/uploads/pprc_epd-rts_-146_21.pdf" TargetMode="External"/><Relationship Id="rId13" Type="http://schemas.openxmlformats.org/officeDocument/2006/relationships/hyperlink" Target="https://epdnorway.lca-data.com/datasetdetail/process.xhtml?uuid=4461c54f-e2ce-4e75-acec-fe8cfa115c8b&amp;version=00.03.001&amp;stock=PUBLIC&amp;lang=en" TargetMode="External"/><Relationship Id="rId18" Type="http://schemas.openxmlformats.org/officeDocument/2006/relationships/hyperlink" Target="https://epdnorway.lca-data.com/datasetdetail/process.xhtml?uuid=406f7e38-81e9-4cd3-8c02-adcac8c5e45a&amp;version=00.03.001&amp;stock=PUBLIC&amp;lang=en" TargetMode="External"/><Relationship Id="rId39" Type="http://schemas.openxmlformats.org/officeDocument/2006/relationships/hyperlink" Target="https://epdnorway.lca-data.com/datasetdetail/process.xhtml?uuid=54a707b0-9899-4364-ac8d-414f58580bd2&amp;version=00.03.000&amp;stock=PUBLIC&amp;lang=en" TargetMode="External"/><Relationship Id="rId109" Type="http://schemas.openxmlformats.org/officeDocument/2006/relationships/hyperlink" Target="https://www.base-inies.fr/iniesV4/dist/infos-produit" TargetMode="External"/><Relationship Id="rId34" Type="http://schemas.openxmlformats.org/officeDocument/2006/relationships/hyperlink" Target="https://epdnorway.lca-data.com/datasetdetail/process.xhtml?uuid=6eb2fe34-da34-4dfb-aa56-1c585010f8fb&amp;version=00.03.000&amp;stock=PUBLIC&amp;lang=en" TargetMode="External"/><Relationship Id="rId50" Type="http://schemas.openxmlformats.org/officeDocument/2006/relationships/hyperlink" Target="https://manage.epdhub.com/" TargetMode="External"/><Relationship Id="rId55" Type="http://schemas.openxmlformats.org/officeDocument/2006/relationships/hyperlink" Target="https://manage.epdhub.com/" TargetMode="External"/><Relationship Id="rId76" Type="http://schemas.openxmlformats.org/officeDocument/2006/relationships/hyperlink" Target="https://api.environdec.com/api/v1/EPDLibrary/Files/f5bf5a21-223c-403e-816f-08d941d5f1c9/Data" TargetMode="External"/><Relationship Id="rId97" Type="http://schemas.openxmlformats.org/officeDocument/2006/relationships/hyperlink" Target="https://www.base-inies.fr/iniesV4/dist/infos-produit" TargetMode="External"/><Relationship Id="rId104" Type="http://schemas.openxmlformats.org/officeDocument/2006/relationships/hyperlink" Target="https://www.base-inies.fr/iniesV4/dist/infos-produit" TargetMode="External"/><Relationship Id="rId120" Type="http://schemas.openxmlformats.org/officeDocument/2006/relationships/hyperlink" Target="https://cer.rts.fi/wp-content/uploads/rts_178_22-epd_comfort-pipe-plus-blue.pdf" TargetMode="External"/><Relationship Id="rId125" Type="http://schemas.openxmlformats.org/officeDocument/2006/relationships/hyperlink" Target="https://oekobaudat.de/OEKOBAU.DAT/datasetdetail/process.xhtml?uuid=61e47e03-7a7d-48db-a48a-f5368266f7f5&amp;version=20.23.050&amp;stock=OBD_2023_I&amp;lang=en" TargetMode="External"/><Relationship Id="rId7" Type="http://schemas.openxmlformats.org/officeDocument/2006/relationships/hyperlink" Target="https://data.environdec.com/datasetdetail/process.xhtml?uuid=dab777c7-2a8e-4ec3-0a1b-08da54e30b17&amp;version=07.00.015&amp;lang=en" TargetMode="External"/><Relationship Id="rId71" Type="http://schemas.openxmlformats.org/officeDocument/2006/relationships/hyperlink" Target="https://api.environdec.com/api/v1/EPDLibrary/Files/86e90e94-4dda-4309-87a9-08db523a4d9e/Data" TargetMode="External"/><Relationship Id="rId92" Type="http://schemas.openxmlformats.org/officeDocument/2006/relationships/hyperlink" Target="https://www.base-inies.fr/iniesV4/dist/infos-produit" TargetMode="External"/><Relationship Id="rId2" Type="http://schemas.openxmlformats.org/officeDocument/2006/relationships/hyperlink" Target="https://www.en.aenor.com/Producto_DAP_pdf/DAP%20Heliroma%20GEPD%20EN15804-017%20Final%20eng.pdf" TargetMode="External"/><Relationship Id="rId29" Type="http://schemas.openxmlformats.org/officeDocument/2006/relationships/hyperlink" Target="https://epdnorway.lca-data.com/datasetdetail/process.xhtml?uuid=45c4fa61-ef08-4cec-907d-85c1ff72d658&amp;version=00.03.001&amp;stock=PUBLIC&amp;lang=en" TargetMode="External"/><Relationship Id="rId24" Type="http://schemas.openxmlformats.org/officeDocument/2006/relationships/hyperlink" Target="https://epdnorway.lca-data.com/datasetdetail/process.xhtml?uuid=091ee3ff-7a67-405a-8060-22f1a0ef89d9&amp;version=00.03.001&amp;stock=PUBLIC&amp;lang=en" TargetMode="External"/><Relationship Id="rId40" Type="http://schemas.openxmlformats.org/officeDocument/2006/relationships/hyperlink" Target="https://epdnorway.lca-data.com/datasetdetail/process.xhtml?uuid=2ccbc5c5-0d6a-44ee-b221-1b3e6a2ef7c7&amp;version=00.03.000&amp;stock=PUBLIC&amp;lang=en" TargetMode="External"/><Relationship Id="rId45" Type="http://schemas.openxmlformats.org/officeDocument/2006/relationships/hyperlink" Target="https://epdnorway.lca-data.com/datasetdetail/process.xhtml?uuid=6043c029-4fc3-46e1-b575-e83019a12e8d&amp;version=00.04.000&amp;stock=PUBLIC&amp;lang=en" TargetMode="External"/><Relationship Id="rId66" Type="http://schemas.openxmlformats.org/officeDocument/2006/relationships/hyperlink" Target="https://manage.epdhub.com/" TargetMode="External"/><Relationship Id="rId87" Type="http://schemas.openxmlformats.org/officeDocument/2006/relationships/hyperlink" Target="https://www.base-inies.fr/iniesV4/dist/infos-produit" TargetMode="External"/><Relationship Id="rId110" Type="http://schemas.openxmlformats.org/officeDocument/2006/relationships/hyperlink" Target="https://www.base-inies.fr/iniesV4/dist/infos-produit" TargetMode="External"/><Relationship Id="rId115" Type="http://schemas.openxmlformats.org/officeDocument/2006/relationships/hyperlink" Target="https://oekobaudat.de/OEKOBAU.DAT/datasetdetail/process.xhtml?uuid=a55d07bf-ce4b-427b-ab45-e4e1356c839b&amp;version=20.23.050&amp;stock=OBD_2023_I&amp;lang=en" TargetMode="External"/><Relationship Id="rId131" Type="http://schemas.openxmlformats.org/officeDocument/2006/relationships/hyperlink" Target="https://cer.rts.fi/wp-content/uploads/silenta_epd-rts_145_21.pdf" TargetMode="External"/><Relationship Id="rId61" Type="http://schemas.openxmlformats.org/officeDocument/2006/relationships/hyperlink" Target="https://manage.epdhub.com/" TargetMode="External"/><Relationship Id="rId82" Type="http://schemas.openxmlformats.org/officeDocument/2006/relationships/hyperlink" Target="https://api.environdec.com/api/v1/EPDLibrary/Files/f5bf5a21-223c-403e-816f-08d941d5f1c9/Data" TargetMode="External"/><Relationship Id="rId19" Type="http://schemas.openxmlformats.org/officeDocument/2006/relationships/hyperlink" Target="https://epdnorway.lca-data.com/datasetdetail/process.xhtml?uuid=f84120c0-dadb-4a5f-bcdc-c483c9ec9ff9&amp;version=00.03.001&amp;stock=PUBLIC&amp;lang=en" TargetMode="External"/><Relationship Id="rId14" Type="http://schemas.openxmlformats.org/officeDocument/2006/relationships/hyperlink" Target="https://epdnorway.lca-data.com/datasetdetail/process.xhtml?uuid=c38eb024-3489-44d0-97b6-5016fb3566c4&amp;version=00.03.001&amp;stock=PUBLIC&amp;lang=en" TargetMode="External"/><Relationship Id="rId30" Type="http://schemas.openxmlformats.org/officeDocument/2006/relationships/hyperlink" Target="https://epdnorway.lca-data.com/datasetdetail/process.xhtml?uuid=298d39f6-da28-44f8-873c-64db25ae4f43&amp;version=00.03.001&amp;stock=PUBLIC&amp;lang=en" TargetMode="External"/><Relationship Id="rId35" Type="http://schemas.openxmlformats.org/officeDocument/2006/relationships/hyperlink" Target="https://epdnorway.lca-data.com/datasetdetail/process.xhtml?uuid=2511c42f-d76d-4668-8073-67c81dbdcd99&amp;version=00.03.001&amp;stock=PUBLIC&amp;lang=en" TargetMode="External"/><Relationship Id="rId56" Type="http://schemas.openxmlformats.org/officeDocument/2006/relationships/hyperlink" Target="https://api.environdec.com/api/v1/EPDLibrary/Files/11b9b62e-0ca6-4929-154f-08daab5a6b31/Data" TargetMode="External"/><Relationship Id="rId77" Type="http://schemas.openxmlformats.org/officeDocument/2006/relationships/hyperlink" Target="https://api.environdec.com/api/v1/EPDLibrary/Files/f5bf5a21-223c-403e-816f-08d941d5f1c9/Data" TargetMode="External"/><Relationship Id="rId100" Type="http://schemas.openxmlformats.org/officeDocument/2006/relationships/hyperlink" Target="https://www.base-inies.fr/iniesV4/dist/infos-produit" TargetMode="External"/><Relationship Id="rId105" Type="http://schemas.openxmlformats.org/officeDocument/2006/relationships/hyperlink" Target="https://www.base-inies.fr/iniesV4/dist/infos-produit" TargetMode="External"/><Relationship Id="rId126" Type="http://schemas.openxmlformats.org/officeDocument/2006/relationships/hyperlink" Target="https://oekobaudat.de/OEKOBAU.DAT/datasetdetail/process.xhtml?uuid=5030f4d2-b8ae-4a72-9c76-e21b0a7d9089&amp;version=20.23.050&amp;stock=OBD_2023_I&amp;lang=en" TargetMode="External"/><Relationship Id="rId8" Type="http://schemas.openxmlformats.org/officeDocument/2006/relationships/hyperlink" Target="https://data.environdec.com/datasetdetail/process.xhtml?uuid=b7ecaeef-6f14-4eea-0a2c-08da54e30b17&amp;version=07.00.015&amp;lang=en" TargetMode="External"/><Relationship Id="rId51" Type="http://schemas.openxmlformats.org/officeDocument/2006/relationships/hyperlink" Target="https://manage.epdhub.com/" TargetMode="External"/><Relationship Id="rId72" Type="http://schemas.openxmlformats.org/officeDocument/2006/relationships/hyperlink" Target="https://api.environdec.com/api/v1/EPDLibrary/Files/d56019e4-77b3-4588-79ed-08da491c4cdf/Data" TargetMode="External"/><Relationship Id="rId93" Type="http://schemas.openxmlformats.org/officeDocument/2006/relationships/hyperlink" Target="https://www.base-inies.fr/iniesV4/dist/infos-produit" TargetMode="External"/><Relationship Id="rId98" Type="http://schemas.openxmlformats.org/officeDocument/2006/relationships/hyperlink" Target="https://www.base-inies.fr/iniesV4/dist/infos-produit" TargetMode="External"/><Relationship Id="rId121" Type="http://schemas.openxmlformats.org/officeDocument/2006/relationships/hyperlink" Target="https://oekobaudat.de/OEKOBAU.DAT/datasetdetail/process.xhtml?uuid=9099dfdd-22a6-4dee-9b60-0e90701e9d99&amp;version=20.23.050&amp;stock=OBD_2023_I&amp;lang=en" TargetMode="External"/><Relationship Id="rId3" Type="http://schemas.openxmlformats.org/officeDocument/2006/relationships/hyperlink" Target="https://co2data.fi/rakentaminen/" TargetMode="External"/><Relationship Id="rId25" Type="http://schemas.openxmlformats.org/officeDocument/2006/relationships/hyperlink" Target="https://epdnorway.lca-data.com/datasetdetail/process.xhtml?uuid=a1272267-206a-4b63-989a-afb6ea749e8a&amp;version=00.03.001&amp;stock=PUBLIC&amp;lang=en" TargetMode="External"/><Relationship Id="rId46" Type="http://schemas.openxmlformats.org/officeDocument/2006/relationships/hyperlink" Target="https://epdnorway.lca-data.com/datasetdetail/process.xhtml?uuid=d646d376-8420-4b3f-bc46-b74025cb7adb&amp;version=00.03.000&amp;stock=PUBLIC&amp;lang=en" TargetMode="External"/><Relationship Id="rId67" Type="http://schemas.openxmlformats.org/officeDocument/2006/relationships/hyperlink" Target="https://manage.epdhub.com/" TargetMode="External"/><Relationship Id="rId116" Type="http://schemas.openxmlformats.org/officeDocument/2006/relationships/hyperlink" Target="https://oekobaudat.de/OEKOBAU.DAT/datasetdetail/process.xhtml?uuid=c9d466d3-d5cb-4be6-9ae3-609212c4438a&amp;version=20.23.050&amp;stock=OBD_2023_I&amp;lang=en" TargetMode="External"/><Relationship Id="rId20" Type="http://schemas.openxmlformats.org/officeDocument/2006/relationships/hyperlink" Target="https://epdnorway.lca-data.com/datasetdetail/process.xhtml?uuid=7ee6ad88-039b-466b-b819-682a1982ba72&amp;version=00.03.001&amp;stock=PUBLIC&amp;lang=en" TargetMode="External"/><Relationship Id="rId41" Type="http://schemas.openxmlformats.org/officeDocument/2006/relationships/hyperlink" Target="https://epdnorway.lca-data.com/datasetdetail/process.xhtml?uuid=b7dfa016-6d93-46bc-b351-028c83ace4fd&amp;version=00.03.000&amp;stock=PUBLIC&amp;lang=en" TargetMode="External"/><Relationship Id="rId62" Type="http://schemas.openxmlformats.org/officeDocument/2006/relationships/hyperlink" Target="https://manage.epdhub.com/" TargetMode="External"/><Relationship Id="rId83" Type="http://schemas.openxmlformats.org/officeDocument/2006/relationships/hyperlink" Target="https://epd.dijitalpanel.site/Upload/epdturkey.com/Products/Images/64de2a36b897d-EN%20S-P-04076_Construction_Subor_CRP%20Pipes_EN_EPDTurkey.pdf" TargetMode="External"/><Relationship Id="rId88" Type="http://schemas.openxmlformats.org/officeDocument/2006/relationships/hyperlink" Target="https://www.base-inies.fr/iniesV4/dist/infos-produit" TargetMode="External"/><Relationship Id="rId111" Type="http://schemas.openxmlformats.org/officeDocument/2006/relationships/hyperlink" Target="https://www.base-inies.fr/iniesV4/dist/infos-produit" TargetMode="External"/><Relationship Id="rId132" Type="http://schemas.openxmlformats.org/officeDocument/2006/relationships/hyperlink" Target="https://cer.rts.fi/wp-content/uploads/rts-epd_100-21_iq-storm-water-pipes_15-03.pdf" TargetMode="External"/><Relationship Id="rId15" Type="http://schemas.openxmlformats.org/officeDocument/2006/relationships/hyperlink" Target="https://epdnorway.lca-data.com/datasetdetail/process.xhtml?uuid=c4219f63-44b0-4e42-9a7b-a53d2465c625&amp;version=00.03.001&amp;stock=PUBLIC&amp;lang=en" TargetMode="External"/><Relationship Id="rId36" Type="http://schemas.openxmlformats.org/officeDocument/2006/relationships/hyperlink" Target="https://epdnorway.lca-data.com/datasetdetail/process.xhtml?uuid=ed7f7acd-bb3a-4f99-80ba-f70274c5e2b7&amp;version=00.04.000&amp;stock=PUBLIC&amp;lang=en" TargetMode="External"/><Relationship Id="rId57" Type="http://schemas.openxmlformats.org/officeDocument/2006/relationships/hyperlink" Target="https://manage.epdhub.com/" TargetMode="External"/><Relationship Id="rId106" Type="http://schemas.openxmlformats.org/officeDocument/2006/relationships/hyperlink" Target="https://www.base-inies.fr/iniesV4/dist/infos-produit" TargetMode="External"/><Relationship Id="rId127" Type="http://schemas.openxmlformats.org/officeDocument/2006/relationships/hyperlink" Target="https://cer.rts.fi/wp-content/uploads/rts_174_22-epd_comfort-pipe-plus_0221.pdf" TargetMode="External"/><Relationship Id="rId10" Type="http://schemas.openxmlformats.org/officeDocument/2006/relationships/hyperlink" Target="https://data.environdec.com/datasetdetail/process.xhtml?uuid=d0038193-f540-40a6-72a5-08da598ce856&amp;version=07.00.015&amp;lang=en" TargetMode="External"/><Relationship Id="rId31" Type="http://schemas.openxmlformats.org/officeDocument/2006/relationships/hyperlink" Target="https://epdnorway.lca-data.com/resource/datastocks/91413340-7bf0-4f88-a952-0f91cba685df/processes/d67ebaea-c946-4b4e-923b-708daece32be/epd?version=00.03.000" TargetMode="External"/><Relationship Id="rId52" Type="http://schemas.openxmlformats.org/officeDocument/2006/relationships/hyperlink" Target="https://manage.epdhub.com/" TargetMode="External"/><Relationship Id="rId73" Type="http://schemas.openxmlformats.org/officeDocument/2006/relationships/hyperlink" Target="https://api.environdec.com/api/v1/EPDLibrary/Files/455d3553-5844-4a64-7a7c-08da491c4cdf/Data" TargetMode="External"/><Relationship Id="rId78" Type="http://schemas.openxmlformats.org/officeDocument/2006/relationships/hyperlink" Target="https://api.environdec.com/api/v1/EPDLibrary/Files/f5bf5a21-223c-403e-816f-08d941d5f1c9/Data" TargetMode="External"/><Relationship Id="rId94" Type="http://schemas.openxmlformats.org/officeDocument/2006/relationships/hyperlink" Target="https://www.base-inies.fr/iniesV4/dist/infos-produit" TargetMode="External"/><Relationship Id="rId99" Type="http://schemas.openxmlformats.org/officeDocument/2006/relationships/hyperlink" Target="https://www.base-inies.fr/iniesV4/dist/infos-produit" TargetMode="External"/><Relationship Id="rId101" Type="http://schemas.openxmlformats.org/officeDocument/2006/relationships/hyperlink" Target="https://www.base-inies.fr/iniesV4/dist/infos-produit" TargetMode="External"/><Relationship Id="rId122" Type="http://schemas.openxmlformats.org/officeDocument/2006/relationships/hyperlink" Target="https://oekobaudat.de/OEKOBAU.DAT/datasetdetail/process.xhtml?uuid=d1ea7d7e-bcfc-496c-8cb6-072f2339eb7f&amp;version=20.23.050&amp;stock=OBD_2023_I&amp;lang=en" TargetMode="External"/><Relationship Id="rId4" Type="http://schemas.openxmlformats.org/officeDocument/2006/relationships/hyperlink" Target="https://www.greenbooklive.com/pdfdocs/en15804epd/BREGENEPD000475.pdf" TargetMode="External"/><Relationship Id="rId9" Type="http://schemas.openxmlformats.org/officeDocument/2006/relationships/hyperlink" Target="https://data.environdec.com/datasetdetail/process.xhtml?uuid=fbe7c563-55b5-44ac-7277-08da598ce856&amp;version=07.00.015&amp;lang=en" TargetMode="External"/><Relationship Id="rId26" Type="http://schemas.openxmlformats.org/officeDocument/2006/relationships/hyperlink" Target="https://epdnorway.lca-data.com/datasetdetail/process.xhtml?uuid=b4b0f338-3d4e-4a11-85c9-5b87db51dad1&amp;version=00.03.001&amp;stock=PUBLIC&amp;lang=en" TargetMode="External"/><Relationship Id="rId47" Type="http://schemas.openxmlformats.org/officeDocument/2006/relationships/hyperlink" Target="https://manage.epdhub.com/" TargetMode="External"/><Relationship Id="rId68" Type="http://schemas.openxmlformats.org/officeDocument/2006/relationships/hyperlink" Target="https://manage.epdhub.com/" TargetMode="External"/><Relationship Id="rId89" Type="http://schemas.openxmlformats.org/officeDocument/2006/relationships/hyperlink" Target="https://www.base-inies.fr/iniesV4/dist/infos-produit" TargetMode="External"/><Relationship Id="rId112" Type="http://schemas.openxmlformats.org/officeDocument/2006/relationships/hyperlink" Target="https://www.base-inies.fr/iniesV4/dist/infos-produit" TargetMode="External"/><Relationship Id="rId133" Type="http://schemas.openxmlformats.org/officeDocument/2006/relationships/hyperlink" Target="https://cer.rts.fi/wp-content/uploads/rts-epd_101_21_ultra-rib-2_15-03.pdf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api.environdec.com/api/v1/EPDLibrary/Files/23dcbd34-8c51-476d-8736-08d9d73a4e22/Data" TargetMode="External"/><Relationship Id="rId18" Type="http://schemas.openxmlformats.org/officeDocument/2006/relationships/hyperlink" Target="https://api.environdec.com/api/v1/EPDLibrary/Files/cc4f0d93-1533-4b1e-054c-08d9b9685fa2/Data" TargetMode="External"/><Relationship Id="rId26" Type="http://schemas.openxmlformats.org/officeDocument/2006/relationships/hyperlink" Target="https://api.environdec.com/api/v1/EPDLibrary/Files/3f6f5282-6ed7-44ee-695d-08d9b3ca1199/Data" TargetMode="External"/><Relationship Id="rId3" Type="http://schemas.openxmlformats.org/officeDocument/2006/relationships/hyperlink" Target="https://data.environdec.com/datasetdetail/process.xhtml?uuid=bc31e532-9c8e-4020-abeb-a8916104f539&amp;version=07.00.015&amp;lang=en" TargetMode="External"/><Relationship Id="rId21" Type="http://schemas.openxmlformats.org/officeDocument/2006/relationships/hyperlink" Target="https://api.environdec.com/api/v1/EPDLibrary/Files/f4ebb42e-38a2-450f-82e7-08da54e4347e/Data" TargetMode="External"/><Relationship Id="rId7" Type="http://schemas.openxmlformats.org/officeDocument/2006/relationships/hyperlink" Target="https://cer.rts.fi/wp-content/uploads/rts_69_20-kone_monospace_300_dx_epd_22-03.pdf" TargetMode="External"/><Relationship Id="rId12" Type="http://schemas.openxmlformats.org/officeDocument/2006/relationships/hyperlink" Target="https://api.environdec.com/api/v1/EPDLibrary/Files/93e74f72-c77d-4e77-fc41-08d9bd3aaab3/Data" TargetMode="External"/><Relationship Id="rId17" Type="http://schemas.openxmlformats.org/officeDocument/2006/relationships/hyperlink" Target="https://api.environdec.com/api/v1/EPDLibrary/Files/a2d115be-62c6-4bf7-f4a3-08da17f54cd6/Data" TargetMode="External"/><Relationship Id="rId25" Type="http://schemas.openxmlformats.org/officeDocument/2006/relationships/hyperlink" Target="https://api.environdec.com/api/v1/EPDLibrary/Files/3f6f5282-6ed7-44ee-695d-08d9b3ca1199/Data" TargetMode="External"/><Relationship Id="rId33" Type="http://schemas.openxmlformats.org/officeDocument/2006/relationships/hyperlink" Target="https://cer.rts.fi/wp-content/uploads/rts_43_19-kone_transys_epd_22-03.pdf" TargetMode="External"/><Relationship Id="rId2" Type="http://schemas.openxmlformats.org/officeDocument/2006/relationships/hyperlink" Target="https://data.environdec.com/datasetdetail/process.xhtml?uuid=89e43200-848d-4d2e-b7d7-55c35ad0fb28&amp;version=07.00.015&amp;lang=en" TargetMode="External"/><Relationship Id="rId16" Type="http://schemas.openxmlformats.org/officeDocument/2006/relationships/hyperlink" Target="https://api.environdec.com/api/v1/EPDLibrary/Files/a2d115be-62c6-4bf7-f4a3-08da17f54cd6/Data" TargetMode="External"/><Relationship Id="rId20" Type="http://schemas.openxmlformats.org/officeDocument/2006/relationships/hyperlink" Target="https://api.environdec.com/api/v1/EPDLibrary/Files/cc4f0d93-1533-4b1e-054c-08d9b9685fa2/Data" TargetMode="External"/><Relationship Id="rId29" Type="http://schemas.openxmlformats.org/officeDocument/2006/relationships/hyperlink" Target="https://api.environdec.com/api/v1/EPDLibrary/Files/c3774fc1-6968-4daf-a33c-08da713617ee/Data" TargetMode="External"/><Relationship Id="rId1" Type="http://schemas.openxmlformats.org/officeDocument/2006/relationships/hyperlink" Target="https://data.environdec.com/datasetdetail/process.xhtml?uuid=698f6f32-1cf1-4db4-a140-14a6966bc7b4&amp;version=07.00.015&amp;lang=en" TargetMode="External"/><Relationship Id="rId6" Type="http://schemas.openxmlformats.org/officeDocument/2006/relationships/hyperlink" Target="https://data.environdec.com/datasetdetail/process.xhtml?uuid=14e52cad-c61d-491e-d24c-08db150ad048&amp;version=07.00.015&amp;lang=en" TargetMode="External"/><Relationship Id="rId11" Type="http://schemas.openxmlformats.org/officeDocument/2006/relationships/hyperlink" Target="https://api.environdec.com/api/v1/EPDLibrary/Files/c8dd2f54-7217-4864-c9ae-08da00e21b69/Data" TargetMode="External"/><Relationship Id="rId24" Type="http://schemas.openxmlformats.org/officeDocument/2006/relationships/hyperlink" Target="https://api.environdec.com/api/v1/EPDLibrary/Files/cdac101a-c4cc-4bb6-6959-08d9b3ca1199/Data" TargetMode="External"/><Relationship Id="rId32" Type="http://schemas.openxmlformats.org/officeDocument/2006/relationships/hyperlink" Target="https://cer.rts.fi/wp-content/uploads/new_kone_monospace_700_epd_22012714.pdf" TargetMode="External"/><Relationship Id="rId5" Type="http://schemas.openxmlformats.org/officeDocument/2006/relationships/hyperlink" Target="https://data.environdec.com/datasetdetail/process.xhtml?uuid=23bd973f-7649-4ebb-a5a7-2af1862493a4&amp;version=07.00.015&amp;lang=en" TargetMode="External"/><Relationship Id="rId15" Type="http://schemas.openxmlformats.org/officeDocument/2006/relationships/hyperlink" Target="https://api.environdec.com/api/v1/EPDLibrary/Files/b63d5638-8f0c-4f87-ab86-08da599e304a/Data" TargetMode="External"/><Relationship Id="rId23" Type="http://schemas.openxmlformats.org/officeDocument/2006/relationships/hyperlink" Target="https://api.environdec.com/api/v1/EPDLibrary/Files/cdac101a-c4cc-4bb6-6959-08d9b3ca1199/Data" TargetMode="External"/><Relationship Id="rId28" Type="http://schemas.openxmlformats.org/officeDocument/2006/relationships/hyperlink" Target="https://api.environdec.com/api/v1/EPDLibrary/Files/1190336b-1453-4d39-a33b-08da713617ee/Data" TargetMode="External"/><Relationship Id="rId10" Type="http://schemas.openxmlformats.org/officeDocument/2006/relationships/hyperlink" Target="https://api.environdec.com/api/v1/EPDLibrary/Files/015c245e-e403-4e0e-764c-08db719c9c63/Data" TargetMode="External"/><Relationship Id="rId19" Type="http://schemas.openxmlformats.org/officeDocument/2006/relationships/hyperlink" Target="https://api.environdec.com/api/v1/EPDLibrary/Files/cc4f0d93-1533-4b1e-054c-08d9b9685fa2/Data" TargetMode="External"/><Relationship Id="rId31" Type="http://schemas.openxmlformats.org/officeDocument/2006/relationships/hyperlink" Target="https://www.kone.com/en/Images/KONE_MiniSpace_EPD_22-03_tcm17-94409.pdf" TargetMode="External"/><Relationship Id="rId4" Type="http://schemas.openxmlformats.org/officeDocument/2006/relationships/hyperlink" Target="https://data.environdec.com/datasetdetail/process.xhtml?uuid=23bd973f-7649-4ebb-a5a7-2af1862493a4&amp;version=07.00.015&amp;lang=en" TargetMode="External"/><Relationship Id="rId9" Type="http://schemas.openxmlformats.org/officeDocument/2006/relationships/hyperlink" Target="https://api.environdec.com/api/v1/EPDLibrary/Files/015c245e-e403-4e0e-764c-08db719c9c63/Data" TargetMode="External"/><Relationship Id="rId14" Type="http://schemas.openxmlformats.org/officeDocument/2006/relationships/hyperlink" Target="https://api.environdec.com/api/v1/EPDLibrary/Files/8f18d024-5a86-4e7b-ab82-08da599e304a/Data" TargetMode="External"/><Relationship Id="rId22" Type="http://schemas.openxmlformats.org/officeDocument/2006/relationships/hyperlink" Target="https://api.environdec.com/api/v1/EPDLibrary/Files/f4ebb42e-38a2-450f-82e7-08da54e4347e/Data" TargetMode="External"/><Relationship Id="rId27" Type="http://schemas.openxmlformats.org/officeDocument/2006/relationships/hyperlink" Target="https://api.environdec.com/api/v1/EPDLibrary/Files/124ec9e9-be56-441a-695c-08d9b3ca1199/Data" TargetMode="External"/><Relationship Id="rId30" Type="http://schemas.openxmlformats.org/officeDocument/2006/relationships/hyperlink" Target="https://www.kone.com/en/Images/KONE_MonoSpace_500_DX_EPD_22012714_tcm17-96160.pdf" TargetMode="External"/><Relationship Id="rId8" Type="http://schemas.openxmlformats.org/officeDocument/2006/relationships/hyperlink" Target="https://api.environdec.com/api/v1/EPDLibrary/Files/015c245e-e403-4e0e-764c-08db719c9c63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3"/>
  <sheetViews>
    <sheetView tabSelected="1" zoomScale="89" zoomScaleNormal="100" workbookViewId="0">
      <selection activeCell="C35" sqref="C35"/>
    </sheetView>
  </sheetViews>
  <sheetFormatPr baseColWidth="10" defaultColWidth="12.6640625" defaultRowHeight="15" customHeight="1" x14ac:dyDescent="0.15"/>
  <cols>
    <col min="1" max="1" width="32.33203125" customWidth="1"/>
    <col min="2" max="10" width="20.83203125" customWidth="1"/>
    <col min="12" max="12" width="12.6640625" customWidth="1"/>
  </cols>
  <sheetData>
    <row r="1" spans="1:20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5.75" customHeight="1" x14ac:dyDescent="0.15">
      <c r="A2" s="4" t="s">
        <v>10</v>
      </c>
      <c r="B2" s="5" t="s">
        <v>11</v>
      </c>
      <c r="C2" s="5" t="s">
        <v>12</v>
      </c>
      <c r="D2" s="69">
        <v>271</v>
      </c>
      <c r="E2" s="69">
        <v>52.573999999999998</v>
      </c>
      <c r="F2" s="5" t="s">
        <v>13</v>
      </c>
      <c r="G2" s="5" t="s">
        <v>14</v>
      </c>
      <c r="H2" s="5" t="s">
        <v>15</v>
      </c>
      <c r="I2" s="6">
        <v>0.1</v>
      </c>
      <c r="J2" s="6">
        <v>0.65</v>
      </c>
      <c r="K2" s="4"/>
      <c r="L2" s="59"/>
      <c r="M2" s="59"/>
      <c r="N2" s="59"/>
      <c r="O2" s="59"/>
      <c r="P2" s="4"/>
      <c r="Q2" s="4"/>
      <c r="R2" s="4"/>
      <c r="S2" s="4"/>
      <c r="T2" s="4"/>
    </row>
    <row r="3" spans="1:20" ht="15.75" customHeight="1" x14ac:dyDescent="0.15">
      <c r="A3" s="4" t="s">
        <v>16</v>
      </c>
      <c r="B3" s="5" t="s">
        <v>11</v>
      </c>
      <c r="C3" s="5" t="s">
        <v>17</v>
      </c>
      <c r="D3" s="69">
        <v>0.86899999999999999</v>
      </c>
      <c r="E3" s="69">
        <v>0.56769999999999998</v>
      </c>
      <c r="F3" s="5" t="s">
        <v>13</v>
      </c>
      <c r="G3" s="5" t="s">
        <v>14</v>
      </c>
      <c r="H3" s="5" t="s">
        <v>18</v>
      </c>
      <c r="I3" s="6">
        <v>0.1</v>
      </c>
      <c r="J3" s="6">
        <v>0.8</v>
      </c>
      <c r="K3" s="4"/>
      <c r="L3" s="59"/>
      <c r="M3" s="60"/>
      <c r="N3" s="60"/>
      <c r="O3" s="60"/>
      <c r="P3" s="4"/>
      <c r="Q3" s="4"/>
      <c r="R3" s="4"/>
      <c r="S3" s="4"/>
      <c r="T3" s="4"/>
    </row>
    <row r="4" spans="1:20" ht="15.75" customHeight="1" x14ac:dyDescent="0.15">
      <c r="A4" s="4" t="s">
        <v>19</v>
      </c>
      <c r="B4" s="5" t="s">
        <v>11</v>
      </c>
      <c r="C4" s="5" t="s">
        <v>17</v>
      </c>
      <c r="D4" s="69">
        <v>0.69332000000000005</v>
      </c>
      <c r="E4" s="69">
        <v>0.25036999999999998</v>
      </c>
      <c r="F4" s="5" t="s">
        <v>13</v>
      </c>
      <c r="G4" s="5" t="s">
        <v>14</v>
      </c>
      <c r="H4" s="5" t="s">
        <v>18</v>
      </c>
      <c r="I4" s="6">
        <v>0.1</v>
      </c>
      <c r="J4" s="6">
        <v>0.8</v>
      </c>
      <c r="K4" s="4"/>
      <c r="L4" s="59"/>
      <c r="M4" s="60"/>
      <c r="N4" s="60"/>
      <c r="O4" s="60"/>
      <c r="P4" s="4"/>
      <c r="Q4" s="4"/>
      <c r="R4" s="4"/>
      <c r="S4" s="4"/>
      <c r="T4" s="4"/>
    </row>
    <row r="5" spans="1:20" ht="15.75" customHeight="1" x14ac:dyDescent="0.15">
      <c r="A5" s="4" t="s">
        <v>20</v>
      </c>
      <c r="B5" s="5" t="s">
        <v>11</v>
      </c>
      <c r="C5" s="5" t="s">
        <v>17</v>
      </c>
      <c r="D5" s="69">
        <v>2.52</v>
      </c>
      <c r="E5" s="69">
        <v>0.55000000000000004</v>
      </c>
      <c r="F5" s="5" t="s">
        <v>13</v>
      </c>
      <c r="G5" s="5" t="s">
        <v>14</v>
      </c>
      <c r="H5" s="5" t="s">
        <v>18</v>
      </c>
      <c r="I5" s="6">
        <v>0.1</v>
      </c>
      <c r="J5" s="6">
        <v>0.8</v>
      </c>
      <c r="K5" s="4"/>
      <c r="L5" s="59"/>
      <c r="M5" s="60"/>
      <c r="N5" s="60"/>
      <c r="O5" s="60"/>
      <c r="P5" s="4"/>
      <c r="Q5" s="4"/>
      <c r="R5" s="4"/>
      <c r="S5" s="4"/>
      <c r="T5" s="4"/>
    </row>
    <row r="6" spans="1:20" ht="15.75" customHeight="1" x14ac:dyDescent="0.15">
      <c r="A6" s="4" t="s">
        <v>21</v>
      </c>
      <c r="B6" s="5" t="s">
        <v>11</v>
      </c>
      <c r="C6" s="5" t="s">
        <v>17</v>
      </c>
      <c r="D6" s="69">
        <v>2.99</v>
      </c>
      <c r="E6" s="69">
        <v>0.58903000000000005</v>
      </c>
      <c r="F6" s="5" t="s">
        <v>13</v>
      </c>
      <c r="G6" s="5" t="s">
        <v>14</v>
      </c>
      <c r="H6" s="5" t="s">
        <v>18</v>
      </c>
      <c r="I6" s="6">
        <v>0.1</v>
      </c>
      <c r="J6" s="6">
        <v>0.8</v>
      </c>
      <c r="K6" s="4"/>
      <c r="L6" s="59"/>
      <c r="M6" s="60"/>
      <c r="N6" s="60"/>
      <c r="O6" s="60"/>
      <c r="P6" s="4"/>
      <c r="Q6" s="4"/>
      <c r="R6" s="4"/>
      <c r="S6" s="4"/>
      <c r="T6" s="4"/>
    </row>
    <row r="7" spans="1:20" ht="15.75" customHeight="1" x14ac:dyDescent="0.15">
      <c r="A7" s="4" t="s">
        <v>22</v>
      </c>
      <c r="B7" s="5" t="s">
        <v>11</v>
      </c>
      <c r="C7" s="5" t="s">
        <v>12</v>
      </c>
      <c r="D7" s="69">
        <v>162</v>
      </c>
      <c r="E7" s="69">
        <v>108.378</v>
      </c>
      <c r="F7" s="5" t="s">
        <v>13</v>
      </c>
      <c r="G7" s="5" t="s">
        <v>14</v>
      </c>
      <c r="H7" s="5" t="s">
        <v>23</v>
      </c>
      <c r="I7" s="6">
        <v>0.45</v>
      </c>
      <c r="J7" s="6">
        <v>0.3</v>
      </c>
      <c r="K7" s="4"/>
      <c r="L7" s="59"/>
      <c r="M7" s="60"/>
      <c r="N7" s="60"/>
      <c r="O7" s="60"/>
      <c r="P7" s="4"/>
      <c r="Q7" s="4"/>
      <c r="R7" s="4"/>
      <c r="S7" s="4"/>
      <c r="T7" s="4"/>
    </row>
    <row r="8" spans="1:20" s="47" customFormat="1" ht="15.75" customHeight="1" x14ac:dyDescent="0.15">
      <c r="A8" s="7" t="s">
        <v>24</v>
      </c>
      <c r="B8" s="5" t="s">
        <v>11</v>
      </c>
      <c r="C8" s="5" t="s">
        <v>12</v>
      </c>
      <c r="D8" s="70">
        <v>175</v>
      </c>
      <c r="E8" s="70">
        <v>71.900000000000006</v>
      </c>
      <c r="F8" s="5" t="s">
        <v>13</v>
      </c>
      <c r="G8" s="5" t="s">
        <v>14</v>
      </c>
      <c r="H8" s="5" t="s">
        <v>18</v>
      </c>
      <c r="I8" s="6">
        <v>0.45</v>
      </c>
      <c r="J8" s="6">
        <v>0.3</v>
      </c>
      <c r="K8" s="46"/>
      <c r="L8" s="59"/>
      <c r="M8" s="60"/>
      <c r="N8" s="60"/>
      <c r="O8" s="60"/>
      <c r="P8" s="46"/>
      <c r="Q8" s="46"/>
      <c r="R8" s="46"/>
      <c r="S8" s="46"/>
      <c r="T8" s="46"/>
    </row>
    <row r="9" spans="1:20" ht="15.75" customHeight="1" x14ac:dyDescent="0.15">
      <c r="A9" s="4" t="s">
        <v>25</v>
      </c>
      <c r="B9" s="5" t="s">
        <v>11</v>
      </c>
      <c r="C9" s="5" t="s">
        <v>17</v>
      </c>
      <c r="D9" s="69">
        <v>0.2</v>
      </c>
      <c r="E9" s="69">
        <v>6.7659999999999998E-2</v>
      </c>
      <c r="F9" s="5" t="s">
        <v>26</v>
      </c>
      <c r="G9" s="5" t="s">
        <v>14</v>
      </c>
      <c r="H9" s="5" t="s">
        <v>27</v>
      </c>
      <c r="I9" s="6">
        <v>0.1</v>
      </c>
      <c r="J9" s="6">
        <v>0.8</v>
      </c>
      <c r="K9" s="4"/>
      <c r="L9" s="59"/>
      <c r="M9" s="60"/>
      <c r="N9" s="60"/>
      <c r="O9" s="60"/>
      <c r="P9" s="4"/>
      <c r="Q9" s="4"/>
      <c r="R9" s="4"/>
      <c r="S9" s="4"/>
      <c r="T9" s="4"/>
    </row>
    <row r="10" spans="1:20" ht="15.75" customHeight="1" x14ac:dyDescent="0.15">
      <c r="A10" s="4" t="s">
        <v>28</v>
      </c>
      <c r="B10" s="5" t="s">
        <v>11</v>
      </c>
      <c r="C10" s="5" t="s">
        <v>17</v>
      </c>
      <c r="D10" s="69">
        <v>0.2</v>
      </c>
      <c r="E10" s="69">
        <v>7.5170000000000001E-2</v>
      </c>
      <c r="F10" s="5" t="s">
        <v>26</v>
      </c>
      <c r="G10" s="5" t="s">
        <v>14</v>
      </c>
      <c r="H10" s="5" t="s">
        <v>29</v>
      </c>
      <c r="I10" s="6">
        <v>0.1</v>
      </c>
      <c r="J10" s="6">
        <v>0.8</v>
      </c>
      <c r="K10" s="4"/>
      <c r="L10" s="59"/>
      <c r="M10" s="60"/>
      <c r="N10" s="60"/>
      <c r="O10" s="60"/>
      <c r="P10" s="4"/>
      <c r="Q10" s="4"/>
      <c r="R10" s="4"/>
      <c r="S10" s="4"/>
      <c r="T10" s="4"/>
    </row>
    <row r="11" spans="1:20" ht="15.75" customHeight="1" x14ac:dyDescent="0.15">
      <c r="A11" s="4" t="s">
        <v>30</v>
      </c>
      <c r="B11" s="5" t="s">
        <v>11</v>
      </c>
      <c r="C11" s="5" t="s">
        <v>17</v>
      </c>
      <c r="D11" s="69">
        <v>0.23</v>
      </c>
      <c r="E11" s="69">
        <v>9.9599999999999994E-2</v>
      </c>
      <c r="F11" s="5" t="s">
        <v>26</v>
      </c>
      <c r="G11" s="5" t="s">
        <v>14</v>
      </c>
      <c r="H11" s="5" t="s">
        <v>31</v>
      </c>
      <c r="I11" s="6">
        <v>0.1</v>
      </c>
      <c r="J11" s="6">
        <v>0.65</v>
      </c>
      <c r="K11" s="4"/>
      <c r="L11" s="59"/>
      <c r="M11" s="60"/>
      <c r="N11" s="60"/>
      <c r="O11" s="60"/>
      <c r="P11" s="4"/>
      <c r="Q11" s="4"/>
      <c r="R11" s="4"/>
      <c r="S11" s="4"/>
      <c r="T11" s="4"/>
    </row>
    <row r="12" spans="1:20" ht="15.75" customHeight="1" x14ac:dyDescent="0.15">
      <c r="A12" s="4" t="s">
        <v>32</v>
      </c>
      <c r="B12" s="51" t="str">
        <f t="shared" ref="B12:H12" si="0">B11</f>
        <v>Europe</v>
      </c>
      <c r="C12" s="51" t="str">
        <f t="shared" si="0"/>
        <v>kg</v>
      </c>
      <c r="D12" s="71">
        <f t="shared" si="0"/>
        <v>0.23</v>
      </c>
      <c r="E12" s="71">
        <f t="shared" si="0"/>
        <v>9.9599999999999994E-2</v>
      </c>
      <c r="F12" s="51" t="str">
        <f t="shared" si="0"/>
        <v>Asdrubali et al. (2023)</v>
      </c>
      <c r="G12" s="51" t="str">
        <f t="shared" si="0"/>
        <v>A1-A3</v>
      </c>
      <c r="H12" s="51" t="str">
        <f t="shared" si="0"/>
        <v>115-2245kg/m3</v>
      </c>
      <c r="I12" s="6">
        <v>0.1</v>
      </c>
      <c r="J12" s="6">
        <v>0.65</v>
      </c>
      <c r="K12" s="4"/>
      <c r="L12" s="59"/>
      <c r="M12" s="60"/>
      <c r="N12" s="60"/>
      <c r="O12" s="60"/>
      <c r="P12" s="4"/>
      <c r="Q12" s="4"/>
      <c r="R12" s="4"/>
      <c r="S12" s="4"/>
      <c r="T12" s="4"/>
    </row>
    <row r="13" spans="1:20" ht="15.75" customHeight="1" x14ac:dyDescent="0.15">
      <c r="A13" s="4" t="s">
        <v>33</v>
      </c>
      <c r="B13" s="5" t="s">
        <v>11</v>
      </c>
      <c r="C13" s="5" t="s">
        <v>17</v>
      </c>
      <c r="D13" s="69">
        <v>0.13</v>
      </c>
      <c r="E13" s="69">
        <v>7.4800000000000005E-2</v>
      </c>
      <c r="F13" s="5" t="s">
        <v>26</v>
      </c>
      <c r="G13" s="5" t="s">
        <v>14</v>
      </c>
      <c r="H13" s="5" t="s">
        <v>34</v>
      </c>
      <c r="I13" s="6">
        <v>0.05</v>
      </c>
      <c r="J13" s="6">
        <v>0.15</v>
      </c>
      <c r="K13" s="4"/>
      <c r="L13" s="59"/>
      <c r="M13" s="60"/>
      <c r="N13" s="60"/>
      <c r="O13" s="60"/>
      <c r="P13" s="4"/>
      <c r="Q13" s="4"/>
      <c r="R13" s="4"/>
      <c r="S13" s="4"/>
      <c r="T13" s="4"/>
    </row>
    <row r="14" spans="1:20" s="47" customFormat="1" ht="15.75" customHeight="1" x14ac:dyDescent="0.15">
      <c r="A14" s="4" t="s">
        <v>35</v>
      </c>
      <c r="B14" s="5" t="s">
        <v>36</v>
      </c>
      <c r="C14" s="5" t="s">
        <v>17</v>
      </c>
      <c r="D14" s="69">
        <v>9.2999999999999999E-2</v>
      </c>
      <c r="E14" s="69">
        <v>0</v>
      </c>
      <c r="F14" s="5" t="s">
        <v>37</v>
      </c>
      <c r="G14" s="5" t="s">
        <v>14</v>
      </c>
      <c r="H14" s="5" t="s">
        <v>38</v>
      </c>
      <c r="I14" s="6">
        <v>0.05</v>
      </c>
      <c r="J14" s="6">
        <v>0.15</v>
      </c>
      <c r="K14" s="46"/>
      <c r="L14" s="59"/>
      <c r="M14" s="60"/>
      <c r="N14" s="60"/>
      <c r="O14" s="60"/>
      <c r="P14" s="46"/>
      <c r="Q14" s="46"/>
      <c r="R14" s="46"/>
      <c r="S14" s="46"/>
      <c r="T14" s="46"/>
    </row>
    <row r="15" spans="1:20" s="47" customFormat="1" ht="15.75" customHeight="1" x14ac:dyDescent="0.15">
      <c r="A15" s="4" t="s">
        <v>39</v>
      </c>
      <c r="B15" s="5" t="s">
        <v>40</v>
      </c>
      <c r="C15" s="5" t="s">
        <v>17</v>
      </c>
      <c r="D15" s="69">
        <v>1.6999999999999999E-3</v>
      </c>
      <c r="E15" s="69">
        <v>0</v>
      </c>
      <c r="F15" s="5" t="s">
        <v>41</v>
      </c>
      <c r="G15" s="5" t="s">
        <v>42</v>
      </c>
      <c r="H15" s="5" t="s">
        <v>43</v>
      </c>
      <c r="I15" s="6">
        <v>0.05</v>
      </c>
      <c r="J15" s="6">
        <v>0.15</v>
      </c>
      <c r="K15" s="46"/>
      <c r="L15" s="59"/>
      <c r="M15" s="60"/>
      <c r="N15" s="60"/>
      <c r="O15" s="60"/>
      <c r="P15" s="46"/>
      <c r="Q15" s="46"/>
      <c r="R15" s="46"/>
      <c r="S15" s="46"/>
      <c r="T15" s="46"/>
    </row>
    <row r="16" spans="1:20" ht="15.75" customHeight="1" x14ac:dyDescent="0.15">
      <c r="A16" s="4" t="s">
        <v>44</v>
      </c>
      <c r="B16" s="5" t="s">
        <v>45</v>
      </c>
      <c r="C16" s="5" t="s">
        <v>17</v>
      </c>
      <c r="D16" s="69">
        <f>'EU-Earthen materials'!J12</f>
        <v>2.4385E-2</v>
      </c>
      <c r="E16" s="69">
        <f>'EU-Earthen materials'!J13</f>
        <v>8.6974134085945486E-4</v>
      </c>
      <c r="F16" s="5" t="s">
        <v>46</v>
      </c>
      <c r="G16" s="5" t="s">
        <v>47</v>
      </c>
      <c r="H16" s="5" t="s">
        <v>48</v>
      </c>
      <c r="I16" s="6">
        <v>0.05</v>
      </c>
      <c r="J16" s="6">
        <v>0.15</v>
      </c>
      <c r="K16" s="4"/>
      <c r="L16" s="59"/>
      <c r="M16" s="60"/>
      <c r="N16" s="60"/>
      <c r="O16" s="60"/>
      <c r="P16" s="4"/>
      <c r="Q16" s="4"/>
      <c r="R16" s="4"/>
      <c r="S16" s="4"/>
      <c r="T16" s="4"/>
    </row>
    <row r="17" spans="1:20" ht="15.75" customHeight="1" x14ac:dyDescent="0.15">
      <c r="A17" s="4" t="s">
        <v>49</v>
      </c>
      <c r="B17" s="5" t="s">
        <v>45</v>
      </c>
      <c r="C17" s="5" t="s">
        <v>17</v>
      </c>
      <c r="D17" s="69">
        <f>'EU-Earthen materials'!J3</f>
        <v>5.9100529100529098E-2</v>
      </c>
      <c r="E17" s="69">
        <f>'EU-Earthen materials'!J4</f>
        <v>4.5848934562730034E-3</v>
      </c>
      <c r="F17" s="5" t="s">
        <v>46</v>
      </c>
      <c r="G17" s="5" t="s">
        <v>14</v>
      </c>
      <c r="H17" s="5" t="s">
        <v>48</v>
      </c>
      <c r="I17" s="6">
        <v>0.05</v>
      </c>
      <c r="J17" s="6">
        <v>0.15</v>
      </c>
      <c r="K17" s="4"/>
      <c r="L17" s="59"/>
      <c r="M17" s="60"/>
      <c r="N17" s="60"/>
      <c r="O17" s="60"/>
      <c r="P17" s="4"/>
      <c r="Q17" s="4"/>
      <c r="R17" s="4"/>
      <c r="S17" s="4"/>
      <c r="T17" s="4"/>
    </row>
    <row r="18" spans="1:20" ht="15.75" customHeight="1" x14ac:dyDescent="0.15">
      <c r="A18" s="4" t="s">
        <v>50</v>
      </c>
      <c r="B18" s="5" t="s">
        <v>11</v>
      </c>
      <c r="C18" s="5" t="s">
        <v>51</v>
      </c>
      <c r="D18" s="69">
        <v>105</v>
      </c>
      <c r="E18" s="69">
        <v>21.15</v>
      </c>
      <c r="F18" s="5" t="s">
        <v>52</v>
      </c>
      <c r="G18" s="5" t="s">
        <v>14</v>
      </c>
      <c r="H18" s="5" t="s">
        <v>53</v>
      </c>
      <c r="I18" s="6">
        <f>0.4*0.6+0.6*0.35</f>
        <v>0.44999999999999996</v>
      </c>
      <c r="J18" s="6">
        <f>0.4*0.25+0.6*0.55</f>
        <v>0.43000000000000005</v>
      </c>
      <c r="K18" s="4"/>
      <c r="L18" s="59"/>
      <c r="M18" s="60"/>
      <c r="N18" s="60"/>
      <c r="O18" s="60"/>
      <c r="P18" s="4"/>
      <c r="Q18" s="4"/>
      <c r="R18" s="4"/>
      <c r="S18" s="4"/>
      <c r="T18" s="4"/>
    </row>
    <row r="19" spans="1:20" ht="15.75" customHeight="1" x14ac:dyDescent="0.15">
      <c r="A19" s="4" t="s">
        <v>54</v>
      </c>
      <c r="B19" s="5" t="s">
        <v>11</v>
      </c>
      <c r="C19" s="5" t="s">
        <v>51</v>
      </c>
      <c r="D19" s="69">
        <v>141.9</v>
      </c>
      <c r="E19" s="69">
        <v>57.61</v>
      </c>
      <c r="F19" s="5" t="s">
        <v>52</v>
      </c>
      <c r="G19" s="5" t="s">
        <v>14</v>
      </c>
      <c r="H19" s="5" t="s">
        <v>53</v>
      </c>
      <c r="I19" s="6">
        <f>0.4*0.6+0.6*0.35</f>
        <v>0.44999999999999996</v>
      </c>
      <c r="J19" s="6">
        <f>0.4*0.25+0.6*0.55</f>
        <v>0.43000000000000005</v>
      </c>
      <c r="K19" s="4"/>
      <c r="L19" s="59"/>
      <c r="M19" s="60"/>
      <c r="N19" s="60"/>
      <c r="O19" s="60"/>
      <c r="P19" s="4"/>
      <c r="Q19" s="4"/>
      <c r="R19" s="4"/>
      <c r="S19" s="4"/>
      <c r="T19" s="4"/>
    </row>
    <row r="20" spans="1:20" ht="15.75" customHeight="1" x14ac:dyDescent="0.15">
      <c r="A20" s="4" t="s">
        <v>55</v>
      </c>
      <c r="B20" s="5" t="s">
        <v>11</v>
      </c>
      <c r="C20" s="5" t="s">
        <v>51</v>
      </c>
      <c r="D20" s="69">
        <v>55</v>
      </c>
      <c r="E20" s="69">
        <v>25.495000000000001</v>
      </c>
      <c r="F20" s="5" t="s">
        <v>52</v>
      </c>
      <c r="G20" s="5" t="s">
        <v>14</v>
      </c>
      <c r="H20" s="5" t="s">
        <v>53</v>
      </c>
      <c r="I20" s="6">
        <f>0.4*0.45+0.6*0.35</f>
        <v>0.39</v>
      </c>
      <c r="J20" s="6">
        <f>0.4*0.3+0.6*0.55</f>
        <v>0.45</v>
      </c>
      <c r="K20" s="4"/>
      <c r="L20" s="59"/>
      <c r="M20" s="60"/>
      <c r="N20" s="60"/>
      <c r="O20" s="60"/>
      <c r="P20" s="4"/>
      <c r="Q20" s="4"/>
      <c r="R20" s="4"/>
      <c r="S20" s="4"/>
      <c r="T20" s="4"/>
    </row>
    <row r="21" spans="1:20" ht="15.75" customHeight="1" x14ac:dyDescent="0.15">
      <c r="A21" s="4" t="s">
        <v>56</v>
      </c>
      <c r="B21" s="5" t="s">
        <v>11</v>
      </c>
      <c r="C21" s="5" t="s">
        <v>51</v>
      </c>
      <c r="D21" s="69">
        <v>53.6</v>
      </c>
      <c r="E21" s="69">
        <v>20.28</v>
      </c>
      <c r="F21" s="5" t="s">
        <v>52</v>
      </c>
      <c r="G21" s="5" t="s">
        <v>14</v>
      </c>
      <c r="H21" s="5" t="s">
        <v>53</v>
      </c>
      <c r="I21" s="6">
        <f>0.4*0.45+0.6*0.35</f>
        <v>0.39</v>
      </c>
      <c r="J21" s="6">
        <f>0.4*0.3+0.6*0.55</f>
        <v>0.45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5.75" customHeight="1" x14ac:dyDescent="0.15">
      <c r="A22" s="4" t="s">
        <v>57</v>
      </c>
      <c r="B22" s="5" t="s">
        <v>11</v>
      </c>
      <c r="C22" s="5" t="s">
        <v>51</v>
      </c>
      <c r="D22" s="69">
        <v>68.400000000000006</v>
      </c>
      <c r="E22" s="69">
        <v>14.44</v>
      </c>
      <c r="F22" s="5" t="s">
        <v>52</v>
      </c>
      <c r="G22" s="5" t="s">
        <v>14</v>
      </c>
      <c r="H22" s="5" t="s">
        <v>53</v>
      </c>
      <c r="I22" s="6">
        <f>0.4*0.25+0.6*0.35</f>
        <v>0.31</v>
      </c>
      <c r="J22" s="6">
        <f>0.4*0.5+0.6*0.55</f>
        <v>0.53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5.75" customHeight="1" x14ac:dyDescent="0.15">
      <c r="A23" s="4" t="s">
        <v>58</v>
      </c>
      <c r="B23" s="5" t="s">
        <v>11</v>
      </c>
      <c r="C23" s="5" t="s">
        <v>51</v>
      </c>
      <c r="D23" s="69">
        <v>100.5</v>
      </c>
      <c r="E23" s="69">
        <v>48.05</v>
      </c>
      <c r="F23" s="5" t="s">
        <v>52</v>
      </c>
      <c r="G23" s="5" t="s">
        <v>14</v>
      </c>
      <c r="H23" s="5" t="s">
        <v>53</v>
      </c>
      <c r="I23" s="6">
        <f>0.4*0.25+0.6*0.35</f>
        <v>0.31</v>
      </c>
      <c r="J23" s="6">
        <f>0.4*0.5+0.6*0.55</f>
        <v>0.53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ht="15.75" customHeight="1" x14ac:dyDescent="0.15">
      <c r="A24" s="7" t="s">
        <v>59</v>
      </c>
      <c r="B24" s="5" t="s">
        <v>11</v>
      </c>
      <c r="C24" s="5" t="s">
        <v>51</v>
      </c>
      <c r="D24" s="69">
        <v>127.3</v>
      </c>
      <c r="E24" s="69">
        <v>35.567</v>
      </c>
      <c r="F24" s="5" t="s">
        <v>52</v>
      </c>
      <c r="G24" s="5" t="s">
        <v>14</v>
      </c>
      <c r="H24" s="5" t="s">
        <v>53</v>
      </c>
      <c r="I24" s="6">
        <f>0.4*0.1+0.6*0.35</f>
        <v>0.25</v>
      </c>
      <c r="J24" s="6">
        <v>0.8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ht="15.75" customHeight="1" x14ac:dyDescent="0.15">
      <c r="A25" s="7" t="s">
        <v>60</v>
      </c>
      <c r="B25" s="5" t="s">
        <v>11</v>
      </c>
      <c r="C25" s="5" t="s">
        <v>51</v>
      </c>
      <c r="D25" s="69">
        <v>168.8</v>
      </c>
      <c r="E25" s="69">
        <v>76.42</v>
      </c>
      <c r="F25" s="5" t="s">
        <v>52</v>
      </c>
      <c r="G25" s="5" t="s">
        <v>14</v>
      </c>
      <c r="H25" s="5" t="s">
        <v>53</v>
      </c>
      <c r="I25" s="6">
        <f>0.4*0.1+0.6*0.35</f>
        <v>0.25</v>
      </c>
      <c r="J25" s="6">
        <v>0.8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ht="15.75" customHeight="1" x14ac:dyDescent="0.15">
      <c r="A26" s="4" t="s">
        <v>61</v>
      </c>
      <c r="B26" s="5" t="s">
        <v>11</v>
      </c>
      <c r="C26" s="5" t="s">
        <v>51</v>
      </c>
      <c r="D26" s="69">
        <v>12.1</v>
      </c>
      <c r="E26" s="69">
        <v>4.05</v>
      </c>
      <c r="F26" s="5" t="s">
        <v>13</v>
      </c>
      <c r="G26" s="5" t="s">
        <v>14</v>
      </c>
      <c r="H26" s="5" t="s">
        <v>62</v>
      </c>
      <c r="I26" s="6">
        <v>0.1</v>
      </c>
      <c r="J26" s="6">
        <v>0.8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5.75" customHeight="1" x14ac:dyDescent="0.15">
      <c r="A27" s="4" t="s">
        <v>63</v>
      </c>
      <c r="B27" s="5" t="s">
        <v>11</v>
      </c>
      <c r="C27" s="5" t="s">
        <v>51</v>
      </c>
      <c r="D27" s="69">
        <v>2.2400000000000002</v>
      </c>
      <c r="E27" s="69">
        <v>1.29</v>
      </c>
      <c r="F27" s="5" t="s">
        <v>13</v>
      </c>
      <c r="G27" s="5" t="s">
        <v>14</v>
      </c>
      <c r="H27" s="5" t="s">
        <v>64</v>
      </c>
      <c r="I27" s="6">
        <v>0.2</v>
      </c>
      <c r="J27" s="6">
        <v>0.6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5.75" customHeight="1" x14ac:dyDescent="0.15">
      <c r="A28" s="8" t="s">
        <v>65</v>
      </c>
      <c r="B28" s="5" t="s">
        <v>11</v>
      </c>
      <c r="C28" s="5" t="s">
        <v>51</v>
      </c>
      <c r="D28" s="70">
        <v>3.51</v>
      </c>
      <c r="E28" s="70">
        <v>2.21</v>
      </c>
      <c r="F28" s="5" t="s">
        <v>13</v>
      </c>
      <c r="G28" s="5" t="s">
        <v>14</v>
      </c>
      <c r="H28" s="5" t="s">
        <v>66</v>
      </c>
      <c r="I28" s="6">
        <v>0.4</v>
      </c>
      <c r="J28" s="6">
        <v>0.5</v>
      </c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ht="15.75" customHeight="1" x14ac:dyDescent="0.15">
      <c r="A29" s="7" t="s">
        <v>67</v>
      </c>
      <c r="B29" s="5" t="s">
        <v>11</v>
      </c>
      <c r="C29" s="5" t="s">
        <v>68</v>
      </c>
      <c r="D29" s="69">
        <v>789</v>
      </c>
      <c r="E29" s="69">
        <v>143</v>
      </c>
      <c r="F29" s="5" t="s">
        <v>13</v>
      </c>
      <c r="G29" s="5" t="s">
        <v>14</v>
      </c>
      <c r="H29" s="5" t="s">
        <v>18</v>
      </c>
      <c r="I29" s="6">
        <v>0.15</v>
      </c>
      <c r="J29" s="6">
        <v>0.75</v>
      </c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15.75" customHeight="1" x14ac:dyDescent="0.15">
      <c r="A30" s="44" t="s">
        <v>69</v>
      </c>
      <c r="B30" s="5" t="s">
        <v>11</v>
      </c>
      <c r="C30" s="5" t="s">
        <v>68</v>
      </c>
      <c r="D30" s="70">
        <v>63.32</v>
      </c>
      <c r="E30" s="70">
        <v>19.62</v>
      </c>
      <c r="F30" s="9" t="s">
        <v>70</v>
      </c>
      <c r="G30" s="5" t="s">
        <v>14</v>
      </c>
      <c r="H30" s="5" t="s">
        <v>18</v>
      </c>
      <c r="I30" s="6">
        <v>0.05</v>
      </c>
      <c r="J30" s="6">
        <v>0.1</v>
      </c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5.75" customHeight="1" x14ac:dyDescent="0.15">
      <c r="A31" s="10" t="s">
        <v>71</v>
      </c>
      <c r="B31" s="5" t="s">
        <v>11</v>
      </c>
      <c r="C31" s="5" t="s">
        <v>17</v>
      </c>
      <c r="D31" s="70">
        <v>0.13</v>
      </c>
      <c r="E31" s="70">
        <v>0</v>
      </c>
      <c r="F31" s="9" t="s">
        <v>70</v>
      </c>
      <c r="G31" s="5" t="s">
        <v>14</v>
      </c>
      <c r="H31" s="5" t="s">
        <v>18</v>
      </c>
      <c r="I31" s="6">
        <v>0.35</v>
      </c>
      <c r="J31" s="6">
        <v>0.55000000000000004</v>
      </c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5.75" customHeight="1" x14ac:dyDescent="0.15">
      <c r="A32" s="45" t="s">
        <v>72</v>
      </c>
      <c r="B32" s="5" t="s">
        <v>11</v>
      </c>
      <c r="C32" s="5" t="s">
        <v>51</v>
      </c>
      <c r="D32" s="69">
        <v>5.32</v>
      </c>
      <c r="E32" s="69">
        <v>2.99</v>
      </c>
      <c r="F32" s="5" t="s">
        <v>13</v>
      </c>
      <c r="G32" s="5" t="s">
        <v>14</v>
      </c>
      <c r="H32" s="5" t="s">
        <v>73</v>
      </c>
      <c r="I32" s="6">
        <v>0.2</v>
      </c>
      <c r="J32" s="6">
        <v>0.7</v>
      </c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5.75" customHeight="1" x14ac:dyDescent="0.15">
      <c r="A33" s="45" t="s">
        <v>74</v>
      </c>
      <c r="B33" s="5" t="s">
        <v>11</v>
      </c>
      <c r="C33" s="5" t="s">
        <v>51</v>
      </c>
      <c r="D33" s="69">
        <f>'EU-Lay in tile ceilings'!L3</f>
        <v>20.108447222222225</v>
      </c>
      <c r="E33" s="69">
        <f>'EU-Lay in tile ceilings'!L4</f>
        <v>7.0161266649457943</v>
      </c>
      <c r="F33" s="5" t="s">
        <v>46</v>
      </c>
      <c r="G33" s="5" t="s">
        <v>14</v>
      </c>
      <c r="H33" s="5" t="s">
        <v>75</v>
      </c>
      <c r="I33" s="6">
        <v>0.1</v>
      </c>
      <c r="J33" s="6">
        <v>0.8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5.75" customHeight="1" x14ac:dyDescent="0.15">
      <c r="A34" s="4" t="s">
        <v>76</v>
      </c>
      <c r="B34" s="5" t="s">
        <v>11</v>
      </c>
      <c r="C34" s="5" t="s">
        <v>51</v>
      </c>
      <c r="D34" s="69">
        <f>'EU-Raised access floors'!L3</f>
        <v>21.6</v>
      </c>
      <c r="E34" s="69">
        <f>'EU-Raised access floors'!L4</f>
        <v>12.727922061357855</v>
      </c>
      <c r="F34" s="5" t="s">
        <v>46</v>
      </c>
      <c r="G34" s="5" t="s">
        <v>14</v>
      </c>
      <c r="H34" s="5" t="s">
        <v>75</v>
      </c>
      <c r="I34" s="6">
        <v>0.1</v>
      </c>
      <c r="J34" s="6">
        <v>0.8</v>
      </c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ht="15.75" customHeight="1" x14ac:dyDescent="0.15">
      <c r="A35" s="4" t="s">
        <v>77</v>
      </c>
      <c r="B35" s="5" t="s">
        <v>11</v>
      </c>
      <c r="C35" s="5" t="s">
        <v>17</v>
      </c>
      <c r="D35" s="69">
        <f>'EU-Piping'!M3</f>
        <v>2.7279607001029276</v>
      </c>
      <c r="E35" s="69">
        <f>'EU-Piping'!M4</f>
        <v>2.2174432112584559</v>
      </c>
      <c r="F35" s="5" t="s">
        <v>46</v>
      </c>
      <c r="G35" s="5" t="s">
        <v>14</v>
      </c>
      <c r="H35" s="5" t="s">
        <v>18</v>
      </c>
      <c r="I35" s="6">
        <v>0.25</v>
      </c>
      <c r="J35" s="6">
        <v>0.5</v>
      </c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ht="15.75" customHeight="1" x14ac:dyDescent="0.15">
      <c r="A36" s="4" t="s">
        <v>78</v>
      </c>
      <c r="B36" s="5" t="s">
        <v>11</v>
      </c>
      <c r="C36" s="5" t="s">
        <v>2</v>
      </c>
      <c r="D36" s="69">
        <f>'EU-Elevators'!S3</f>
        <v>10046.482307904762</v>
      </c>
      <c r="E36" s="69">
        <f>'EU-Elevators'!S4</f>
        <v>3060.4595967217806</v>
      </c>
      <c r="F36" s="5" t="s">
        <v>46</v>
      </c>
      <c r="G36" s="5" t="s">
        <v>14</v>
      </c>
      <c r="H36" s="5" t="s">
        <v>18</v>
      </c>
      <c r="I36" s="6">
        <v>0.4</v>
      </c>
      <c r="J36" s="6">
        <v>0.3</v>
      </c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5.75" customHeight="1" x14ac:dyDescent="0.15">
      <c r="A37" s="4" t="s">
        <v>79</v>
      </c>
      <c r="B37" s="5" t="s">
        <v>11</v>
      </c>
      <c r="C37" s="5" t="s">
        <v>2</v>
      </c>
      <c r="D37" s="69">
        <f>'EU-Elevators'!S7</f>
        <v>56468.178547759941</v>
      </c>
      <c r="E37" s="69">
        <f>'EU-Elevators'!S8</f>
        <v>27957.832926250823</v>
      </c>
      <c r="F37" s="5" t="s">
        <v>46</v>
      </c>
      <c r="G37" s="5" t="s">
        <v>14</v>
      </c>
      <c r="H37" s="5" t="s">
        <v>18</v>
      </c>
      <c r="I37" s="6">
        <v>0.4</v>
      </c>
      <c r="J37" s="6">
        <v>0.3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5.75" customHeight="1" x14ac:dyDescent="0.15">
      <c r="A38" s="4" t="s">
        <v>80</v>
      </c>
      <c r="B38" s="5" t="s">
        <v>11</v>
      </c>
      <c r="C38" s="5" t="s">
        <v>81</v>
      </c>
      <c r="D38" s="69">
        <f>'EU-HVAC'!K3</f>
        <v>35.121724137931032</v>
      </c>
      <c r="E38" s="69">
        <f>'EU-HVAC'!K4</f>
        <v>17.176351489551294</v>
      </c>
      <c r="F38" s="5" t="s">
        <v>46</v>
      </c>
      <c r="G38" s="5" t="s">
        <v>14</v>
      </c>
      <c r="H38" s="5" t="s">
        <v>18</v>
      </c>
      <c r="I38" s="6">
        <v>0.45</v>
      </c>
      <c r="J38" s="6">
        <v>0.35</v>
      </c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5.75" customHeight="1" x14ac:dyDescent="0.15">
      <c r="A39" s="4" t="s">
        <v>82</v>
      </c>
      <c r="B39" s="5" t="s">
        <v>11</v>
      </c>
      <c r="C39" s="5" t="s">
        <v>81</v>
      </c>
      <c r="D39" s="69">
        <f>'EU-Electrical system'!J3</f>
        <v>9.9760303300624429</v>
      </c>
      <c r="E39" s="69">
        <f>'EU-Electrical system'!J4</f>
        <v>4.7025660313544355</v>
      </c>
      <c r="F39" s="5" t="s">
        <v>46</v>
      </c>
      <c r="G39" s="5" t="s">
        <v>14</v>
      </c>
      <c r="H39" s="5" t="s">
        <v>18</v>
      </c>
      <c r="I39" s="6">
        <v>0.5</v>
      </c>
      <c r="J39" s="6">
        <v>0.25</v>
      </c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5.75" customHeight="1" x14ac:dyDescent="0.15">
      <c r="A40" s="7" t="s">
        <v>83</v>
      </c>
      <c r="B40" s="5" t="s">
        <v>11</v>
      </c>
      <c r="C40" s="5" t="s">
        <v>81</v>
      </c>
      <c r="D40" s="69">
        <f>'EU-Fire system'!J3</f>
        <v>4.9858757062146895</v>
      </c>
      <c r="E40" s="69">
        <f>'EU-Fire system'!J4</f>
        <v>1.0002991987524512</v>
      </c>
      <c r="F40" s="5" t="s">
        <v>46</v>
      </c>
      <c r="G40" s="5" t="s">
        <v>14</v>
      </c>
      <c r="H40" s="5" t="s">
        <v>18</v>
      </c>
      <c r="I40" s="6">
        <v>0.35</v>
      </c>
      <c r="J40" s="6">
        <v>0.4</v>
      </c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ht="15.75" customHeight="1" x14ac:dyDescent="0.15"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15.75" customHeight="1" x14ac:dyDescent="0.15"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5.75" customHeight="1" x14ac:dyDescent="0.15">
      <c r="A43" s="4"/>
      <c r="B43" s="5"/>
      <c r="C43" s="5"/>
      <c r="D43" s="6"/>
      <c r="E43" s="6"/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ht="15.75" customHeight="1" x14ac:dyDescent="0.15">
      <c r="A44" s="4"/>
      <c r="B44" s="5"/>
      <c r="C44" s="5"/>
      <c r="D44" s="6"/>
      <c r="E44" s="6"/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ht="15.75" customHeight="1" x14ac:dyDescent="0.15">
      <c r="A45" s="4"/>
      <c r="B45" s="5"/>
      <c r="C45" s="5"/>
      <c r="D45" s="6"/>
      <c r="E45" s="6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ht="15.75" customHeight="1" x14ac:dyDescent="0.15">
      <c r="A46" s="4"/>
      <c r="B46" s="5"/>
      <c r="C46" s="5"/>
      <c r="D46" s="6"/>
      <c r="E46" s="6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ht="15.75" customHeight="1" x14ac:dyDescent="0.15">
      <c r="A47" s="4"/>
      <c r="B47" s="5"/>
      <c r="C47" s="5"/>
      <c r="D47" s="6"/>
      <c r="E47" s="6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ht="15.75" customHeight="1" x14ac:dyDescent="0.15">
      <c r="A48" s="4"/>
      <c r="B48" s="5"/>
      <c r="C48" s="5"/>
      <c r="D48" s="6"/>
      <c r="E48" s="6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ht="15.75" customHeight="1" x14ac:dyDescent="0.15">
      <c r="A49" s="4"/>
      <c r="B49" s="5"/>
      <c r="C49" s="5"/>
      <c r="D49" s="6"/>
      <c r="E49" s="6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5.75" customHeight="1" x14ac:dyDescent="0.15">
      <c r="A50" s="4"/>
      <c r="B50" s="5"/>
      <c r="C50" s="5"/>
      <c r="D50" s="6"/>
      <c r="E50" s="6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ht="15.75" customHeight="1" x14ac:dyDescent="0.15">
      <c r="A51" s="4"/>
      <c r="B51" s="5"/>
      <c r="C51" s="5"/>
      <c r="D51" s="6"/>
      <c r="E51" s="6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15.75" customHeight="1" x14ac:dyDescent="0.15">
      <c r="A52" s="4"/>
      <c r="B52" s="5"/>
      <c r="C52" s="5"/>
      <c r="D52" s="6"/>
      <c r="E52" s="6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ht="15.75" customHeight="1" x14ac:dyDescent="0.15">
      <c r="A53" s="4"/>
      <c r="B53" s="5"/>
      <c r="C53" s="5"/>
      <c r="D53" s="6"/>
      <c r="E53" s="6"/>
      <c r="F53" s="5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ht="15.75" customHeight="1" x14ac:dyDescent="0.15">
      <c r="A54" s="4"/>
      <c r="B54" s="5"/>
      <c r="C54" s="5"/>
      <c r="D54" s="6"/>
      <c r="E54" s="6"/>
      <c r="F54" s="5"/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ht="15.75" customHeight="1" x14ac:dyDescent="0.15">
      <c r="A55" s="4"/>
      <c r="B55" s="5"/>
      <c r="C55" s="5"/>
      <c r="D55" s="6"/>
      <c r="E55" s="6"/>
      <c r="F55" s="5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5.75" customHeight="1" x14ac:dyDescent="0.15">
      <c r="A56" s="4"/>
      <c r="B56" s="5"/>
      <c r="C56" s="5"/>
      <c r="D56" s="6"/>
      <c r="E56" s="6"/>
      <c r="F56" s="5"/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ht="15.75" customHeight="1" x14ac:dyDescent="0.15">
      <c r="A57" s="4"/>
      <c r="B57" s="5"/>
      <c r="C57" s="5"/>
      <c r="D57" s="6"/>
      <c r="E57" s="6"/>
      <c r="F57" s="5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ht="15.75" customHeight="1" x14ac:dyDescent="0.15">
      <c r="A58" s="4"/>
      <c r="B58" s="5"/>
      <c r="C58" s="5"/>
      <c r="D58" s="6"/>
      <c r="E58" s="6"/>
      <c r="F58" s="5"/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ht="15.75" customHeight="1" x14ac:dyDescent="0.15">
      <c r="A59" s="4"/>
      <c r="B59" s="5"/>
      <c r="C59" s="5"/>
      <c r="D59" s="6"/>
      <c r="E59" s="6"/>
      <c r="F59" s="5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ht="15.75" customHeight="1" x14ac:dyDescent="0.15">
      <c r="A60" s="4"/>
      <c r="B60" s="5"/>
      <c r="C60" s="5"/>
      <c r="D60" s="6"/>
      <c r="E60" s="6"/>
      <c r="F60" s="5"/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ht="15.75" customHeight="1" x14ac:dyDescent="0.15">
      <c r="A61" s="4"/>
      <c r="B61" s="5"/>
      <c r="C61" s="5"/>
      <c r="D61" s="6"/>
      <c r="E61" s="6"/>
      <c r="F61" s="5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5.75" customHeight="1" x14ac:dyDescent="0.15">
      <c r="A62" s="4"/>
      <c r="B62" s="5"/>
      <c r="C62" s="5"/>
      <c r="D62" s="6"/>
      <c r="E62" s="6"/>
      <c r="F62" s="5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ht="15.75" customHeight="1" x14ac:dyDescent="0.15">
      <c r="A63" s="4"/>
      <c r="B63" s="5"/>
      <c r="C63" s="5"/>
      <c r="D63" s="6"/>
      <c r="E63" s="6"/>
      <c r="F63" s="5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ht="15.75" customHeight="1" x14ac:dyDescent="0.15">
      <c r="A64" s="4"/>
      <c r="B64" s="5"/>
      <c r="C64" s="5"/>
      <c r="D64" s="6"/>
      <c r="E64" s="6"/>
      <c r="F64" s="5"/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ht="15.75" customHeight="1" x14ac:dyDescent="0.15">
      <c r="A65" s="4"/>
      <c r="B65" s="5"/>
      <c r="C65" s="5"/>
      <c r="D65" s="6"/>
      <c r="E65" s="6"/>
      <c r="F65" s="5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ht="15.75" customHeight="1" x14ac:dyDescent="0.15">
      <c r="A66" s="4"/>
      <c r="B66" s="5"/>
      <c r="C66" s="5"/>
      <c r="D66" s="6"/>
      <c r="E66" s="6"/>
      <c r="F66" s="5"/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5.75" customHeight="1" x14ac:dyDescent="0.15">
      <c r="A67" s="4"/>
      <c r="B67" s="5"/>
      <c r="C67" s="5"/>
      <c r="D67" s="6"/>
      <c r="E67" s="6"/>
      <c r="F67" s="5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ht="15.75" customHeight="1" x14ac:dyDescent="0.15">
      <c r="A68" s="4"/>
      <c r="B68" s="5"/>
      <c r="C68" s="5"/>
      <c r="D68" s="6"/>
      <c r="E68" s="6"/>
      <c r="F68" s="5"/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ht="15.75" customHeight="1" x14ac:dyDescent="0.15">
      <c r="A69" s="4"/>
      <c r="B69" s="5"/>
      <c r="C69" s="5"/>
      <c r="D69" s="6"/>
      <c r="E69" s="6"/>
      <c r="F69" s="5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ht="15.75" customHeight="1" x14ac:dyDescent="0.15">
      <c r="A70" s="4"/>
      <c r="B70" s="5"/>
      <c r="C70" s="5"/>
      <c r="D70" s="6"/>
      <c r="E70" s="6"/>
      <c r="F70" s="5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ht="15.75" customHeight="1" x14ac:dyDescent="0.15">
      <c r="A71" s="4"/>
      <c r="B71" s="5"/>
      <c r="C71" s="5"/>
      <c r="D71" s="6"/>
      <c r="E71" s="6"/>
      <c r="F71" s="5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5.75" customHeight="1" x14ac:dyDescent="0.15">
      <c r="A72" s="4"/>
      <c r="B72" s="5"/>
      <c r="C72" s="5"/>
      <c r="D72" s="6"/>
      <c r="E72" s="6"/>
      <c r="F72" s="5"/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ht="15.75" customHeight="1" x14ac:dyDescent="0.15">
      <c r="A73" s="4"/>
      <c r="B73" s="5"/>
      <c r="C73" s="5"/>
      <c r="D73" s="6"/>
      <c r="E73" s="6"/>
      <c r="F73" s="5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5.75" customHeight="1" x14ac:dyDescent="0.15">
      <c r="A74" s="4"/>
      <c r="B74" s="5"/>
      <c r="C74" s="5"/>
      <c r="D74" s="6"/>
      <c r="E74" s="6"/>
      <c r="F74" s="5"/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ht="15.75" customHeight="1" x14ac:dyDescent="0.15">
      <c r="A75" s="4"/>
      <c r="B75" s="5"/>
      <c r="C75" s="5"/>
      <c r="D75" s="6"/>
      <c r="E75" s="6"/>
      <c r="F75" s="5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5.75" customHeight="1" x14ac:dyDescent="0.15">
      <c r="A76" s="4"/>
      <c r="B76" s="5"/>
      <c r="C76" s="5"/>
      <c r="D76" s="6"/>
      <c r="E76" s="6"/>
      <c r="F76" s="5"/>
      <c r="G76" s="5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ht="15.75" customHeight="1" x14ac:dyDescent="0.15">
      <c r="A77" s="4"/>
      <c r="B77" s="5"/>
      <c r="C77" s="5"/>
      <c r="D77" s="6"/>
      <c r="E77" s="6"/>
      <c r="F77" s="5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ht="15.75" customHeight="1" x14ac:dyDescent="0.15">
      <c r="A78" s="4"/>
      <c r="B78" s="5"/>
      <c r="C78" s="5"/>
      <c r="D78" s="6"/>
      <c r="E78" s="6"/>
      <c r="F78" s="5"/>
      <c r="G78" s="5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ht="15.75" customHeight="1" x14ac:dyDescent="0.15">
      <c r="A79" s="4"/>
      <c r="B79" s="5"/>
      <c r="C79" s="5"/>
      <c r="D79" s="6"/>
      <c r="E79" s="6"/>
      <c r="F79" s="5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ht="15.75" customHeight="1" x14ac:dyDescent="0.15">
      <c r="A80" s="4"/>
      <c r="B80" s="5"/>
      <c r="C80" s="5"/>
      <c r="D80" s="6"/>
      <c r="E80" s="6"/>
      <c r="F80" s="5"/>
      <c r="G80" s="5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ht="15.75" customHeight="1" x14ac:dyDescent="0.15">
      <c r="A81" s="4"/>
      <c r="B81" s="5"/>
      <c r="C81" s="5"/>
      <c r="D81" s="6"/>
      <c r="E81" s="6"/>
      <c r="F81" s="5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5.75" customHeight="1" x14ac:dyDescent="0.15">
      <c r="A82" s="4"/>
      <c r="B82" s="5"/>
      <c r="C82" s="5"/>
      <c r="D82" s="6"/>
      <c r="E82" s="6"/>
      <c r="F82" s="5"/>
      <c r="G82" s="5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ht="15.75" customHeight="1" x14ac:dyDescent="0.15">
      <c r="A83" s="4"/>
      <c r="B83" s="5"/>
      <c r="C83" s="5"/>
      <c r="D83" s="6"/>
      <c r="E83" s="6"/>
      <c r="F83" s="5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5.75" customHeight="1" x14ac:dyDescent="0.15">
      <c r="A84" s="4"/>
      <c r="B84" s="5"/>
      <c r="C84" s="5"/>
      <c r="D84" s="6"/>
      <c r="E84" s="6"/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ht="15.75" customHeight="1" x14ac:dyDescent="0.15">
      <c r="A85" s="4"/>
      <c r="B85" s="5"/>
      <c r="C85" s="5"/>
      <c r="D85" s="6"/>
      <c r="E85" s="6"/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ht="15.75" customHeight="1" x14ac:dyDescent="0.15">
      <c r="A86" s="4"/>
      <c r="B86" s="5"/>
      <c r="C86" s="5"/>
      <c r="D86" s="6"/>
      <c r="E86" s="6"/>
      <c r="F86" s="5"/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ht="15.75" customHeight="1" x14ac:dyDescent="0.15">
      <c r="A87" s="4"/>
      <c r="B87" s="5"/>
      <c r="C87" s="5"/>
      <c r="D87" s="6"/>
      <c r="E87" s="6"/>
      <c r="F87" s="5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ht="15.75" customHeight="1" x14ac:dyDescent="0.15">
      <c r="A88" s="4"/>
      <c r="B88" s="5"/>
      <c r="C88" s="5"/>
      <c r="D88" s="6"/>
      <c r="E88" s="6"/>
      <c r="F88" s="5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5.75" customHeight="1" x14ac:dyDescent="0.15">
      <c r="A89" s="4"/>
      <c r="B89" s="5"/>
      <c r="C89" s="5"/>
      <c r="D89" s="6"/>
      <c r="E89" s="6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ht="15.75" customHeight="1" x14ac:dyDescent="0.15">
      <c r="A90" s="4"/>
      <c r="B90" s="5"/>
      <c r="C90" s="5"/>
      <c r="D90" s="6"/>
      <c r="E90" s="6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ht="15.75" customHeight="1" x14ac:dyDescent="0.15">
      <c r="A91" s="4"/>
      <c r="B91" s="5"/>
      <c r="C91" s="5"/>
      <c r="D91" s="6"/>
      <c r="E91" s="6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ht="15.75" customHeight="1" x14ac:dyDescent="0.15">
      <c r="A92" s="4"/>
      <c r="B92" s="5"/>
      <c r="C92" s="5"/>
      <c r="D92" s="6"/>
      <c r="E92" s="6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ht="15.75" customHeight="1" x14ac:dyDescent="0.15">
      <c r="A93" s="4"/>
      <c r="B93" s="5"/>
      <c r="C93" s="5"/>
      <c r="D93" s="6"/>
      <c r="E93" s="6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ht="15.75" customHeight="1" x14ac:dyDescent="0.15">
      <c r="A94" s="4"/>
      <c r="B94" s="5"/>
      <c r="C94" s="5"/>
      <c r="D94" s="6"/>
      <c r="E94" s="6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ht="15.75" customHeight="1" x14ac:dyDescent="0.15">
      <c r="A95" s="4"/>
      <c r="B95" s="5"/>
      <c r="C95" s="5"/>
      <c r="D95" s="6"/>
      <c r="E95" s="6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5.75" customHeight="1" x14ac:dyDescent="0.15">
      <c r="A96" s="4"/>
      <c r="B96" s="5"/>
      <c r="C96" s="5"/>
      <c r="D96" s="6"/>
      <c r="E96" s="6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ht="15.75" customHeight="1" x14ac:dyDescent="0.15">
      <c r="A97" s="4"/>
      <c r="B97" s="5"/>
      <c r="C97" s="5"/>
      <c r="D97" s="6"/>
      <c r="E97" s="6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15.75" customHeight="1" x14ac:dyDescent="0.15">
      <c r="A98" s="4"/>
      <c r="B98" s="5"/>
      <c r="C98" s="5"/>
      <c r="D98" s="6"/>
      <c r="E98" s="6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ht="15.75" customHeight="1" x14ac:dyDescent="0.15">
      <c r="A99" s="4"/>
      <c r="B99" s="5"/>
      <c r="C99" s="5"/>
      <c r="D99" s="6"/>
      <c r="E99" s="6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ht="15.75" customHeight="1" x14ac:dyDescent="0.15">
      <c r="A100" s="4"/>
      <c r="B100" s="5"/>
      <c r="C100" s="5"/>
      <c r="D100" s="6"/>
      <c r="E100" s="6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5.75" customHeight="1" x14ac:dyDescent="0.15">
      <c r="A101" s="4"/>
      <c r="B101" s="5"/>
      <c r="C101" s="5"/>
      <c r="D101" s="6"/>
      <c r="E101" s="6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5.75" customHeight="1" x14ac:dyDescent="0.15">
      <c r="A102" s="4"/>
      <c r="B102" s="5"/>
      <c r="C102" s="5"/>
      <c r="D102" s="6"/>
      <c r="E102" s="6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5.75" customHeight="1" x14ac:dyDescent="0.15">
      <c r="A103" s="4"/>
      <c r="B103" s="5"/>
      <c r="C103" s="5"/>
      <c r="D103" s="6"/>
      <c r="E103" s="6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15.75" customHeight="1" x14ac:dyDescent="0.15">
      <c r="A104" s="4"/>
      <c r="B104" s="5"/>
      <c r="C104" s="5"/>
      <c r="D104" s="6"/>
      <c r="E104" s="6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5.75" customHeight="1" x14ac:dyDescent="0.15">
      <c r="A105" s="4"/>
      <c r="B105" s="5"/>
      <c r="C105" s="5"/>
      <c r="D105" s="6"/>
      <c r="E105" s="6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15.75" customHeight="1" x14ac:dyDescent="0.15">
      <c r="A106" s="4"/>
      <c r="B106" s="5"/>
      <c r="C106" s="5"/>
      <c r="D106" s="6"/>
      <c r="E106" s="6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5.75" customHeight="1" x14ac:dyDescent="0.15">
      <c r="A107" s="4"/>
      <c r="B107" s="5"/>
      <c r="C107" s="5"/>
      <c r="D107" s="6"/>
      <c r="E107" s="6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5.75" customHeight="1" x14ac:dyDescent="0.15">
      <c r="A108" s="4"/>
      <c r="B108" s="5"/>
      <c r="C108" s="5"/>
      <c r="D108" s="6"/>
      <c r="E108" s="6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5.75" customHeight="1" x14ac:dyDescent="0.15">
      <c r="A109" s="4"/>
      <c r="B109" s="5"/>
      <c r="C109" s="5"/>
      <c r="D109" s="6"/>
      <c r="E109" s="6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5.75" customHeight="1" x14ac:dyDescent="0.15">
      <c r="A110" s="4"/>
      <c r="B110" s="5"/>
      <c r="C110" s="5"/>
      <c r="D110" s="6"/>
      <c r="E110" s="6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15.75" customHeight="1" x14ac:dyDescent="0.15">
      <c r="A111" s="4"/>
      <c r="B111" s="5"/>
      <c r="C111" s="5"/>
      <c r="D111" s="6"/>
      <c r="E111" s="6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15.75" customHeight="1" x14ac:dyDescent="0.15">
      <c r="A112" s="4"/>
      <c r="B112" s="5"/>
      <c r="C112" s="5"/>
      <c r="D112" s="6"/>
      <c r="E112" s="6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15.75" customHeight="1" x14ac:dyDescent="0.15">
      <c r="A113" s="4"/>
      <c r="B113" s="5"/>
      <c r="C113" s="5"/>
      <c r="D113" s="6"/>
      <c r="E113" s="6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15.75" customHeight="1" x14ac:dyDescent="0.15">
      <c r="A114" s="4"/>
      <c r="B114" s="5"/>
      <c r="C114" s="5"/>
      <c r="D114" s="6"/>
      <c r="E114" s="6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15.75" customHeight="1" x14ac:dyDescent="0.15">
      <c r="A115" s="4"/>
      <c r="B115" s="5"/>
      <c r="C115" s="5"/>
      <c r="D115" s="6"/>
      <c r="E115" s="6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5.75" customHeight="1" x14ac:dyDescent="0.15">
      <c r="A116" s="4"/>
      <c r="B116" s="5"/>
      <c r="C116" s="5"/>
      <c r="D116" s="6"/>
      <c r="E116" s="6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15.75" customHeight="1" x14ac:dyDescent="0.15">
      <c r="A117" s="4"/>
      <c r="B117" s="5"/>
      <c r="C117" s="5"/>
      <c r="D117" s="6"/>
      <c r="E117" s="6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15.75" customHeight="1" x14ac:dyDescent="0.15">
      <c r="A118" s="4"/>
      <c r="B118" s="5"/>
      <c r="C118" s="5"/>
      <c r="D118" s="6"/>
      <c r="E118" s="6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15.75" customHeight="1" x14ac:dyDescent="0.15">
      <c r="A119" s="4"/>
      <c r="B119" s="5"/>
      <c r="C119" s="5"/>
      <c r="D119" s="6"/>
      <c r="E119" s="6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15.75" customHeight="1" x14ac:dyDescent="0.15">
      <c r="A120" s="4"/>
      <c r="B120" s="5"/>
      <c r="C120" s="5"/>
      <c r="D120" s="6"/>
      <c r="E120" s="6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5.75" customHeight="1" x14ac:dyDescent="0.15">
      <c r="A121" s="4"/>
      <c r="B121" s="5"/>
      <c r="C121" s="5"/>
      <c r="D121" s="6"/>
      <c r="E121" s="6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5.75" customHeight="1" x14ac:dyDescent="0.15">
      <c r="A122" s="4"/>
      <c r="B122" s="5"/>
      <c r="C122" s="5"/>
      <c r="D122" s="6"/>
      <c r="E122" s="6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15.75" customHeight="1" x14ac:dyDescent="0.15">
      <c r="A123" s="4"/>
      <c r="B123" s="5"/>
      <c r="C123" s="5"/>
      <c r="D123" s="6"/>
      <c r="E123" s="6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15.75" customHeight="1" x14ac:dyDescent="0.15">
      <c r="A124" s="4"/>
      <c r="B124" s="5"/>
      <c r="C124" s="5"/>
      <c r="D124" s="6"/>
      <c r="E124" s="6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15.75" customHeight="1" x14ac:dyDescent="0.15">
      <c r="A125" s="4"/>
      <c r="B125" s="5"/>
      <c r="C125" s="5"/>
      <c r="D125" s="6"/>
      <c r="E125" s="6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15.75" customHeight="1" x14ac:dyDescent="0.15">
      <c r="A126" s="4"/>
      <c r="B126" s="5"/>
      <c r="C126" s="5"/>
      <c r="D126" s="6"/>
      <c r="E126" s="6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ht="15.75" customHeight="1" x14ac:dyDescent="0.15">
      <c r="A127" s="4"/>
      <c r="B127" s="5"/>
      <c r="C127" s="5"/>
      <c r="D127" s="6"/>
      <c r="E127" s="6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ht="15.75" customHeight="1" x14ac:dyDescent="0.15">
      <c r="A128" s="4"/>
      <c r="B128" s="5"/>
      <c r="C128" s="5"/>
      <c r="D128" s="6"/>
      <c r="E128" s="6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15.75" customHeight="1" x14ac:dyDescent="0.15">
      <c r="A129" s="4"/>
      <c r="B129" s="5"/>
      <c r="C129" s="5"/>
      <c r="D129" s="6"/>
      <c r="E129" s="6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15.75" customHeight="1" x14ac:dyDescent="0.15">
      <c r="A130" s="4"/>
      <c r="B130" s="5"/>
      <c r="C130" s="5"/>
      <c r="D130" s="6"/>
      <c r="E130" s="6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15.75" customHeight="1" x14ac:dyDescent="0.15">
      <c r="A131" s="4"/>
      <c r="B131" s="5"/>
      <c r="C131" s="5"/>
      <c r="D131" s="6"/>
      <c r="E131" s="6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15.75" customHeight="1" x14ac:dyDescent="0.15">
      <c r="A132" s="4"/>
      <c r="B132" s="5"/>
      <c r="C132" s="5"/>
      <c r="D132" s="6"/>
      <c r="E132" s="6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15.75" customHeight="1" x14ac:dyDescent="0.15">
      <c r="A133" s="4"/>
      <c r="B133" s="5"/>
      <c r="C133" s="5"/>
      <c r="D133" s="6"/>
      <c r="E133" s="6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15.75" customHeight="1" x14ac:dyDescent="0.15">
      <c r="A134" s="4"/>
      <c r="B134" s="5"/>
      <c r="C134" s="5"/>
      <c r="D134" s="6"/>
      <c r="E134" s="6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15.75" customHeight="1" x14ac:dyDescent="0.15">
      <c r="A135" s="4"/>
      <c r="B135" s="5"/>
      <c r="C135" s="5"/>
      <c r="D135" s="6"/>
      <c r="E135" s="6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15.75" customHeight="1" x14ac:dyDescent="0.15">
      <c r="A136" s="4"/>
      <c r="B136" s="5"/>
      <c r="C136" s="5"/>
      <c r="D136" s="6"/>
      <c r="E136" s="6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15.75" customHeight="1" x14ac:dyDescent="0.15">
      <c r="A137" s="4"/>
      <c r="B137" s="5"/>
      <c r="C137" s="5"/>
      <c r="D137" s="6"/>
      <c r="E137" s="6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15.75" customHeight="1" x14ac:dyDescent="0.15">
      <c r="A138" s="4"/>
      <c r="B138" s="5"/>
      <c r="C138" s="5"/>
      <c r="D138" s="6"/>
      <c r="E138" s="6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15.75" customHeight="1" x14ac:dyDescent="0.15">
      <c r="A139" s="4"/>
      <c r="B139" s="5"/>
      <c r="C139" s="5"/>
      <c r="D139" s="6"/>
      <c r="E139" s="6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15.75" customHeight="1" x14ac:dyDescent="0.15">
      <c r="A140" s="4"/>
      <c r="B140" s="5"/>
      <c r="C140" s="5"/>
      <c r="D140" s="6"/>
      <c r="E140" s="6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15.75" customHeight="1" x14ac:dyDescent="0.15">
      <c r="A141" s="4"/>
      <c r="B141" s="5"/>
      <c r="C141" s="5"/>
      <c r="D141" s="6"/>
      <c r="E141" s="6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15.75" customHeight="1" x14ac:dyDescent="0.15">
      <c r="A142" s="4"/>
      <c r="B142" s="5"/>
      <c r="C142" s="5"/>
      <c r="D142" s="6"/>
      <c r="E142" s="6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ht="15.75" customHeight="1" x14ac:dyDescent="0.15">
      <c r="A143" s="4"/>
      <c r="B143" s="5"/>
      <c r="C143" s="5"/>
      <c r="D143" s="6"/>
      <c r="E143" s="6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ht="15.75" customHeight="1" x14ac:dyDescent="0.15">
      <c r="A144" s="4"/>
      <c r="B144" s="5"/>
      <c r="C144" s="5"/>
      <c r="D144" s="6"/>
      <c r="E144" s="6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15.75" customHeight="1" x14ac:dyDescent="0.15">
      <c r="A145" s="4"/>
      <c r="B145" s="5"/>
      <c r="C145" s="5"/>
      <c r="D145" s="6"/>
      <c r="E145" s="6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15.75" customHeight="1" x14ac:dyDescent="0.15">
      <c r="A146" s="4"/>
      <c r="B146" s="5"/>
      <c r="C146" s="5"/>
      <c r="D146" s="6"/>
      <c r="E146" s="6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15.75" customHeight="1" x14ac:dyDescent="0.15">
      <c r="A147" s="4"/>
      <c r="B147" s="5"/>
      <c r="C147" s="5"/>
      <c r="D147" s="6"/>
      <c r="E147" s="6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15.75" customHeight="1" x14ac:dyDescent="0.15">
      <c r="A148" s="4"/>
      <c r="B148" s="5"/>
      <c r="C148" s="5"/>
      <c r="D148" s="6"/>
      <c r="E148" s="6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15.75" customHeight="1" x14ac:dyDescent="0.15">
      <c r="A149" s="4"/>
      <c r="B149" s="5"/>
      <c r="C149" s="5"/>
      <c r="D149" s="6"/>
      <c r="E149" s="6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15.75" customHeight="1" x14ac:dyDescent="0.15">
      <c r="A150" s="4"/>
      <c r="B150" s="5"/>
      <c r="C150" s="5"/>
      <c r="D150" s="6"/>
      <c r="E150" s="6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ht="15.75" customHeight="1" x14ac:dyDescent="0.15">
      <c r="A151" s="4"/>
      <c r="B151" s="5"/>
      <c r="C151" s="5"/>
      <c r="D151" s="6"/>
      <c r="E151" s="6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ht="15.75" customHeight="1" x14ac:dyDescent="0.15">
      <c r="A152" s="4"/>
      <c r="B152" s="5"/>
      <c r="C152" s="5"/>
      <c r="D152" s="6"/>
      <c r="E152" s="6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ht="15.75" customHeight="1" x14ac:dyDescent="0.15">
      <c r="A153" s="4"/>
      <c r="B153" s="5"/>
      <c r="C153" s="5"/>
      <c r="D153" s="6"/>
      <c r="E153" s="6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15.75" customHeight="1" x14ac:dyDescent="0.15">
      <c r="A154" s="4"/>
      <c r="B154" s="5"/>
      <c r="C154" s="5"/>
      <c r="D154" s="6"/>
      <c r="E154" s="6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15.75" customHeight="1" x14ac:dyDescent="0.15">
      <c r="A155" s="4"/>
      <c r="B155" s="5"/>
      <c r="C155" s="5"/>
      <c r="D155" s="6"/>
      <c r="E155" s="6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15.75" customHeight="1" x14ac:dyDescent="0.15">
      <c r="A156" s="4"/>
      <c r="B156" s="5"/>
      <c r="C156" s="5"/>
      <c r="D156" s="6"/>
      <c r="E156" s="6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15.75" customHeight="1" x14ac:dyDescent="0.15">
      <c r="A157" s="4"/>
      <c r="B157" s="5"/>
      <c r="C157" s="5"/>
      <c r="D157" s="6"/>
      <c r="E157" s="6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15.75" customHeight="1" x14ac:dyDescent="0.15">
      <c r="A158" s="4"/>
      <c r="B158" s="5"/>
      <c r="C158" s="5"/>
      <c r="D158" s="6"/>
      <c r="E158" s="6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ht="15.75" customHeight="1" x14ac:dyDescent="0.15">
      <c r="A159" s="4"/>
      <c r="B159" s="5"/>
      <c r="C159" s="5"/>
      <c r="D159" s="6"/>
      <c r="E159" s="6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ht="15.75" customHeight="1" x14ac:dyDescent="0.15">
      <c r="A160" s="4"/>
      <c r="B160" s="5"/>
      <c r="C160" s="5"/>
      <c r="D160" s="6"/>
      <c r="E160" s="6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ht="15.75" customHeight="1" x14ac:dyDescent="0.15">
      <c r="A161" s="4"/>
      <c r="B161" s="5"/>
      <c r="C161" s="5"/>
      <c r="D161" s="6"/>
      <c r="E161" s="6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ht="15.75" customHeight="1" x14ac:dyDescent="0.15">
      <c r="A162" s="4"/>
      <c r="B162" s="5"/>
      <c r="C162" s="5"/>
      <c r="D162" s="6"/>
      <c r="E162" s="6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ht="15.75" customHeight="1" x14ac:dyDescent="0.15">
      <c r="A163" s="4"/>
      <c r="B163" s="5"/>
      <c r="C163" s="5"/>
      <c r="D163" s="6"/>
      <c r="E163" s="6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ht="15.75" customHeight="1" x14ac:dyDescent="0.15">
      <c r="A164" s="4"/>
      <c r="B164" s="5"/>
      <c r="C164" s="5"/>
      <c r="D164" s="6"/>
      <c r="E164" s="6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ht="15.75" customHeight="1" x14ac:dyDescent="0.15">
      <c r="A165" s="4"/>
      <c r="B165" s="5"/>
      <c r="C165" s="5"/>
      <c r="D165" s="6"/>
      <c r="E165" s="6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ht="15.75" customHeight="1" x14ac:dyDescent="0.15">
      <c r="A166" s="4"/>
      <c r="B166" s="5"/>
      <c r="C166" s="5"/>
      <c r="D166" s="6"/>
      <c r="E166" s="6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ht="15.75" customHeight="1" x14ac:dyDescent="0.15">
      <c r="A167" s="4"/>
      <c r="B167" s="5"/>
      <c r="C167" s="5"/>
      <c r="D167" s="6"/>
      <c r="E167" s="6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ht="15.75" customHeight="1" x14ac:dyDescent="0.15">
      <c r="A168" s="4"/>
      <c r="B168" s="5"/>
      <c r="C168" s="5"/>
      <c r="D168" s="6"/>
      <c r="E168" s="6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ht="15.75" customHeight="1" x14ac:dyDescent="0.15">
      <c r="A169" s="4"/>
      <c r="B169" s="5"/>
      <c r="C169" s="5"/>
      <c r="D169" s="6"/>
      <c r="E169" s="6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ht="15.75" customHeight="1" x14ac:dyDescent="0.15">
      <c r="A170" s="4"/>
      <c r="B170" s="5"/>
      <c r="C170" s="5"/>
      <c r="D170" s="6"/>
      <c r="E170" s="6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ht="15.75" customHeight="1" x14ac:dyDescent="0.15">
      <c r="A171" s="4"/>
      <c r="B171" s="5"/>
      <c r="C171" s="5"/>
      <c r="D171" s="6"/>
      <c r="E171" s="6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ht="15.75" customHeight="1" x14ac:dyDescent="0.15">
      <c r="A172" s="4"/>
      <c r="B172" s="5"/>
      <c r="C172" s="5"/>
      <c r="D172" s="6"/>
      <c r="E172" s="6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ht="15.75" customHeight="1" x14ac:dyDescent="0.15">
      <c r="A173" s="4"/>
      <c r="B173" s="5"/>
      <c r="C173" s="5"/>
      <c r="D173" s="6"/>
      <c r="E173" s="6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ht="15.75" customHeight="1" x14ac:dyDescent="0.15">
      <c r="A174" s="4"/>
      <c r="B174" s="5"/>
      <c r="C174" s="5"/>
      <c r="D174" s="6"/>
      <c r="E174" s="6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ht="15.75" customHeight="1" x14ac:dyDescent="0.15">
      <c r="A175" s="4"/>
      <c r="B175" s="5"/>
      <c r="C175" s="5"/>
      <c r="D175" s="6"/>
      <c r="E175" s="6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ht="15.75" customHeight="1" x14ac:dyDescent="0.15">
      <c r="A176" s="4"/>
      <c r="B176" s="5"/>
      <c r="C176" s="5"/>
      <c r="D176" s="6"/>
      <c r="E176" s="6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ht="15.75" customHeight="1" x14ac:dyDescent="0.15">
      <c r="A177" s="4"/>
      <c r="B177" s="5"/>
      <c r="C177" s="5"/>
      <c r="D177" s="6"/>
      <c r="E177" s="6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ht="15.75" customHeight="1" x14ac:dyDescent="0.15">
      <c r="A178" s="4"/>
      <c r="B178" s="5"/>
      <c r="C178" s="5"/>
      <c r="D178" s="6"/>
      <c r="E178" s="6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ht="15.75" customHeight="1" x14ac:dyDescent="0.15">
      <c r="A179" s="4"/>
      <c r="B179" s="5"/>
      <c r="C179" s="5"/>
      <c r="D179" s="6"/>
      <c r="E179" s="6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ht="15.75" customHeight="1" x14ac:dyDescent="0.15">
      <c r="A180" s="4"/>
      <c r="B180" s="5"/>
      <c r="C180" s="5"/>
      <c r="D180" s="6"/>
      <c r="E180" s="6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ht="15.75" customHeight="1" x14ac:dyDescent="0.15">
      <c r="A181" s="4"/>
      <c r="B181" s="5"/>
      <c r="C181" s="5"/>
      <c r="D181" s="6"/>
      <c r="E181" s="6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ht="15.75" customHeight="1" x14ac:dyDescent="0.15">
      <c r="A182" s="4"/>
      <c r="B182" s="5"/>
      <c r="C182" s="5"/>
      <c r="D182" s="6"/>
      <c r="E182" s="6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ht="15.75" customHeight="1" x14ac:dyDescent="0.15">
      <c r="A183" s="4"/>
      <c r="B183" s="5"/>
      <c r="C183" s="5"/>
      <c r="D183" s="6"/>
      <c r="E183" s="6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ht="15.75" customHeight="1" x14ac:dyDescent="0.15">
      <c r="A184" s="4"/>
      <c r="B184" s="5"/>
      <c r="C184" s="5"/>
      <c r="D184" s="6"/>
      <c r="E184" s="6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ht="15.75" customHeight="1" x14ac:dyDescent="0.15">
      <c r="A185" s="4"/>
      <c r="B185" s="5"/>
      <c r="C185" s="5"/>
      <c r="D185" s="6"/>
      <c r="E185" s="6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ht="15.75" customHeight="1" x14ac:dyDescent="0.15">
      <c r="A186" s="4"/>
      <c r="B186" s="5"/>
      <c r="C186" s="5"/>
      <c r="D186" s="6"/>
      <c r="E186" s="6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ht="15.75" customHeight="1" x14ac:dyDescent="0.15">
      <c r="A187" s="4"/>
      <c r="B187" s="5"/>
      <c r="C187" s="5"/>
      <c r="D187" s="6"/>
      <c r="E187" s="6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ht="15.75" customHeight="1" x14ac:dyDescent="0.15">
      <c r="A188" s="4"/>
      <c r="B188" s="5"/>
      <c r="C188" s="5"/>
      <c r="D188" s="6"/>
      <c r="E188" s="6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ht="15.75" customHeight="1" x14ac:dyDescent="0.15">
      <c r="A189" s="4"/>
      <c r="B189" s="5"/>
      <c r="C189" s="5"/>
      <c r="D189" s="6"/>
      <c r="E189" s="6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ht="15.75" customHeight="1" x14ac:dyDescent="0.15">
      <c r="A190" s="4"/>
      <c r="B190" s="5"/>
      <c r="C190" s="5"/>
      <c r="D190" s="6"/>
      <c r="E190" s="6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ht="15.75" customHeight="1" x14ac:dyDescent="0.15">
      <c r="A191" s="4"/>
      <c r="B191" s="5"/>
      <c r="C191" s="5"/>
      <c r="D191" s="6"/>
      <c r="E191" s="6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ht="15.75" customHeight="1" x14ac:dyDescent="0.15">
      <c r="A192" s="4"/>
      <c r="B192" s="5"/>
      <c r="C192" s="5"/>
      <c r="D192" s="6"/>
      <c r="E192" s="6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ht="15.75" customHeight="1" x14ac:dyDescent="0.15">
      <c r="A193" s="4"/>
      <c r="B193" s="5"/>
      <c r="C193" s="5"/>
      <c r="D193" s="6"/>
      <c r="E193" s="6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ht="15.75" customHeight="1" x14ac:dyDescent="0.15">
      <c r="A194" s="4"/>
      <c r="B194" s="5"/>
      <c r="C194" s="5"/>
      <c r="D194" s="6"/>
      <c r="E194" s="6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ht="15.75" customHeight="1" x14ac:dyDescent="0.15">
      <c r="A195" s="4"/>
      <c r="B195" s="5"/>
      <c r="C195" s="5"/>
      <c r="D195" s="6"/>
      <c r="E195" s="6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ht="15.75" customHeight="1" x14ac:dyDescent="0.15">
      <c r="A196" s="4"/>
      <c r="B196" s="5"/>
      <c r="C196" s="5"/>
      <c r="D196" s="6"/>
      <c r="E196" s="6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ht="15.75" customHeight="1" x14ac:dyDescent="0.15">
      <c r="A197" s="4"/>
      <c r="B197" s="5"/>
      <c r="C197" s="5"/>
      <c r="D197" s="6"/>
      <c r="E197" s="6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ht="15.75" customHeight="1" x14ac:dyDescent="0.15">
      <c r="A198" s="4"/>
      <c r="B198" s="5"/>
      <c r="C198" s="5"/>
      <c r="D198" s="6"/>
      <c r="E198" s="6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ht="15.75" customHeight="1" x14ac:dyDescent="0.15">
      <c r="A199" s="4"/>
      <c r="B199" s="5"/>
      <c r="C199" s="5"/>
      <c r="D199" s="6"/>
      <c r="E199" s="6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ht="15.75" customHeight="1" x14ac:dyDescent="0.15">
      <c r="A200" s="4"/>
      <c r="B200" s="5"/>
      <c r="C200" s="5"/>
      <c r="D200" s="6"/>
      <c r="E200" s="6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ht="15.75" customHeight="1" x14ac:dyDescent="0.15">
      <c r="A201" s="4"/>
      <c r="B201" s="5"/>
      <c r="C201" s="5"/>
      <c r="D201" s="6"/>
      <c r="E201" s="6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ht="15.75" customHeight="1" x14ac:dyDescent="0.15">
      <c r="A202" s="4"/>
      <c r="B202" s="5"/>
      <c r="C202" s="5"/>
      <c r="D202" s="6"/>
      <c r="E202" s="6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ht="15.75" customHeight="1" x14ac:dyDescent="0.15">
      <c r="A203" s="4"/>
      <c r="B203" s="5"/>
      <c r="C203" s="5"/>
      <c r="D203" s="6"/>
      <c r="E203" s="6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ht="15.75" customHeight="1" x14ac:dyDescent="0.15">
      <c r="A204" s="4"/>
      <c r="B204" s="5"/>
      <c r="C204" s="5"/>
      <c r="D204" s="6"/>
      <c r="E204" s="6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ht="15.75" customHeight="1" x14ac:dyDescent="0.15">
      <c r="A205" s="4"/>
      <c r="B205" s="5"/>
      <c r="C205" s="5"/>
      <c r="D205" s="6"/>
      <c r="E205" s="6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ht="15.75" customHeight="1" x14ac:dyDescent="0.15">
      <c r="A206" s="4"/>
      <c r="B206" s="5"/>
      <c r="C206" s="5"/>
      <c r="D206" s="6"/>
      <c r="E206" s="6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ht="15.75" customHeight="1" x14ac:dyDescent="0.15">
      <c r="A207" s="4"/>
      <c r="B207" s="5"/>
      <c r="C207" s="5"/>
      <c r="D207" s="6"/>
      <c r="E207" s="6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ht="15.75" customHeight="1" x14ac:dyDescent="0.15">
      <c r="A208" s="4"/>
      <c r="B208" s="5"/>
      <c r="C208" s="5"/>
      <c r="D208" s="6"/>
      <c r="E208" s="6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ht="15.75" customHeight="1" x14ac:dyDescent="0.15">
      <c r="A209" s="4"/>
      <c r="B209" s="5"/>
      <c r="C209" s="5"/>
      <c r="D209" s="6"/>
      <c r="E209" s="6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ht="15.75" customHeight="1" x14ac:dyDescent="0.15">
      <c r="A210" s="4"/>
      <c r="B210" s="5"/>
      <c r="C210" s="5"/>
      <c r="D210" s="6"/>
      <c r="E210" s="6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ht="15.75" customHeight="1" x14ac:dyDescent="0.15">
      <c r="A211" s="4"/>
      <c r="B211" s="5"/>
      <c r="C211" s="5"/>
      <c r="D211" s="6"/>
      <c r="E211" s="6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ht="15.75" customHeight="1" x14ac:dyDescent="0.15">
      <c r="A212" s="4"/>
      <c r="B212" s="5"/>
      <c r="C212" s="5"/>
      <c r="D212" s="6"/>
      <c r="E212" s="6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ht="15.75" customHeight="1" x14ac:dyDescent="0.15">
      <c r="A213" s="4"/>
      <c r="B213" s="5"/>
      <c r="C213" s="5"/>
      <c r="D213" s="6"/>
      <c r="E213" s="6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ht="15.75" customHeight="1" x14ac:dyDescent="0.15">
      <c r="A214" s="4"/>
      <c r="B214" s="5"/>
      <c r="C214" s="5"/>
      <c r="D214" s="6"/>
      <c r="E214" s="6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ht="15.75" customHeight="1" x14ac:dyDescent="0.15">
      <c r="A215" s="4"/>
      <c r="B215" s="5"/>
      <c r="C215" s="5"/>
      <c r="D215" s="6"/>
      <c r="E215" s="6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ht="15.75" customHeight="1" x14ac:dyDescent="0.15">
      <c r="A216" s="4"/>
      <c r="B216" s="5"/>
      <c r="C216" s="5"/>
      <c r="D216" s="6"/>
      <c r="E216" s="6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ht="15.75" customHeight="1" x14ac:dyDescent="0.15">
      <c r="A217" s="4"/>
      <c r="B217" s="5"/>
      <c r="C217" s="5"/>
      <c r="D217" s="6"/>
      <c r="E217" s="6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ht="15.75" customHeight="1" x14ac:dyDescent="0.15">
      <c r="A218" s="4"/>
      <c r="B218" s="5"/>
      <c r="C218" s="5"/>
      <c r="D218" s="6"/>
      <c r="E218" s="6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ht="15.75" customHeight="1" x14ac:dyDescent="0.15">
      <c r="A219" s="4"/>
      <c r="B219" s="5"/>
      <c r="C219" s="5"/>
      <c r="D219" s="6"/>
      <c r="E219" s="6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ht="15.75" customHeight="1" x14ac:dyDescent="0.15">
      <c r="A220" s="4"/>
      <c r="B220" s="5"/>
      <c r="C220" s="5"/>
      <c r="D220" s="6"/>
      <c r="E220" s="6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ht="15.75" customHeight="1" x14ac:dyDescent="0.15">
      <c r="B221" s="11"/>
      <c r="C221" s="11"/>
      <c r="D221" s="12"/>
      <c r="E221" s="12"/>
      <c r="F221" s="11"/>
      <c r="G221" s="11"/>
      <c r="H221" s="11"/>
    </row>
    <row r="222" spans="1:20" ht="15.75" customHeight="1" x14ac:dyDescent="0.15">
      <c r="B222" s="11"/>
      <c r="C222" s="11"/>
      <c r="D222" s="12"/>
      <c r="E222" s="12"/>
      <c r="F222" s="11"/>
      <c r="G222" s="11"/>
      <c r="H222" s="11"/>
    </row>
    <row r="223" spans="1:20" ht="15.75" customHeight="1" x14ac:dyDescent="0.15">
      <c r="B223" s="11"/>
      <c r="C223" s="11"/>
      <c r="D223" s="12"/>
      <c r="E223" s="12"/>
      <c r="F223" s="11"/>
      <c r="G223" s="11"/>
      <c r="H223" s="11"/>
    </row>
    <row r="224" spans="1:20" ht="15.75" customHeight="1" x14ac:dyDescent="0.15">
      <c r="B224" s="11"/>
      <c r="C224" s="11"/>
      <c r="D224" s="12"/>
      <c r="E224" s="12"/>
      <c r="F224" s="11"/>
      <c r="G224" s="11"/>
      <c r="H224" s="11"/>
    </row>
    <row r="225" spans="2:8" ht="15.75" customHeight="1" x14ac:dyDescent="0.15">
      <c r="B225" s="11"/>
      <c r="C225" s="11"/>
      <c r="D225" s="12"/>
      <c r="E225" s="12"/>
      <c r="F225" s="11"/>
      <c r="G225" s="11"/>
      <c r="H225" s="11"/>
    </row>
    <row r="226" spans="2:8" ht="15.75" customHeight="1" x14ac:dyDescent="0.15">
      <c r="B226" s="11"/>
      <c r="C226" s="11"/>
      <c r="D226" s="12"/>
      <c r="E226" s="12"/>
      <c r="F226" s="11"/>
      <c r="G226" s="11"/>
      <c r="H226" s="11"/>
    </row>
    <row r="227" spans="2:8" ht="15.75" customHeight="1" x14ac:dyDescent="0.15">
      <c r="B227" s="11"/>
      <c r="C227" s="11"/>
      <c r="D227" s="12"/>
      <c r="E227" s="12"/>
      <c r="F227" s="11"/>
      <c r="G227" s="11"/>
      <c r="H227" s="11"/>
    </row>
    <row r="228" spans="2:8" ht="15.75" customHeight="1" x14ac:dyDescent="0.15">
      <c r="B228" s="11"/>
      <c r="C228" s="11"/>
      <c r="D228" s="12"/>
      <c r="E228" s="12"/>
      <c r="F228" s="11"/>
      <c r="G228" s="11"/>
      <c r="H228" s="11"/>
    </row>
    <row r="229" spans="2:8" ht="15.75" customHeight="1" x14ac:dyDescent="0.15">
      <c r="B229" s="11"/>
      <c r="C229" s="11"/>
      <c r="D229" s="12"/>
      <c r="E229" s="12"/>
      <c r="F229" s="11"/>
      <c r="G229" s="11"/>
      <c r="H229" s="11"/>
    </row>
    <row r="230" spans="2:8" ht="15.75" customHeight="1" x14ac:dyDescent="0.15">
      <c r="B230" s="11"/>
      <c r="C230" s="11"/>
      <c r="D230" s="12"/>
      <c r="E230" s="12"/>
      <c r="F230" s="11"/>
      <c r="G230" s="11"/>
      <c r="H230" s="11"/>
    </row>
    <row r="231" spans="2:8" ht="15.75" customHeight="1" x14ac:dyDescent="0.15">
      <c r="B231" s="11"/>
      <c r="C231" s="11"/>
      <c r="D231" s="12"/>
      <c r="E231" s="12"/>
      <c r="F231" s="11"/>
      <c r="G231" s="11"/>
      <c r="H231" s="11"/>
    </row>
    <row r="232" spans="2:8" ht="15.75" customHeight="1" x14ac:dyDescent="0.15">
      <c r="B232" s="11"/>
      <c r="C232" s="11"/>
      <c r="D232" s="12"/>
      <c r="E232" s="12"/>
      <c r="F232" s="11"/>
      <c r="G232" s="11"/>
      <c r="H232" s="11"/>
    </row>
    <row r="233" spans="2:8" ht="15.75" customHeight="1" x14ac:dyDescent="0.15">
      <c r="B233" s="11"/>
      <c r="C233" s="11"/>
      <c r="D233" s="12"/>
      <c r="E233" s="12"/>
      <c r="F233" s="11"/>
      <c r="G233" s="11"/>
      <c r="H233" s="11"/>
    </row>
    <row r="234" spans="2:8" ht="15.75" customHeight="1" x14ac:dyDescent="0.15">
      <c r="B234" s="11"/>
      <c r="C234" s="11"/>
      <c r="D234" s="12"/>
      <c r="E234" s="12"/>
      <c r="F234" s="11"/>
      <c r="G234" s="11"/>
      <c r="H234" s="11"/>
    </row>
    <row r="235" spans="2:8" ht="15.75" customHeight="1" x14ac:dyDescent="0.15">
      <c r="B235" s="11"/>
      <c r="C235" s="11"/>
      <c r="D235" s="12"/>
      <c r="E235" s="12"/>
      <c r="F235" s="11"/>
      <c r="G235" s="11"/>
      <c r="H235" s="11"/>
    </row>
    <row r="236" spans="2:8" ht="15.75" customHeight="1" x14ac:dyDescent="0.15">
      <c r="B236" s="11"/>
      <c r="C236" s="11"/>
      <c r="D236" s="12"/>
      <c r="E236" s="12"/>
      <c r="F236" s="11"/>
      <c r="G236" s="11"/>
      <c r="H236" s="11"/>
    </row>
    <row r="237" spans="2:8" ht="15.75" customHeight="1" x14ac:dyDescent="0.15">
      <c r="B237" s="11"/>
      <c r="C237" s="11"/>
      <c r="D237" s="12"/>
      <c r="E237" s="12"/>
      <c r="F237" s="11"/>
      <c r="G237" s="11"/>
      <c r="H237" s="11"/>
    </row>
    <row r="238" spans="2:8" ht="15.75" customHeight="1" x14ac:dyDescent="0.15">
      <c r="B238" s="11"/>
      <c r="C238" s="11"/>
      <c r="D238" s="12"/>
      <c r="E238" s="12"/>
      <c r="F238" s="11"/>
      <c r="G238" s="11"/>
      <c r="H238" s="11"/>
    </row>
    <row r="239" spans="2:8" ht="15.75" customHeight="1" x14ac:dyDescent="0.15">
      <c r="B239" s="11"/>
      <c r="C239" s="11"/>
      <c r="D239" s="12"/>
      <c r="E239" s="12"/>
      <c r="F239" s="11"/>
      <c r="G239" s="11"/>
      <c r="H239" s="11"/>
    </row>
    <row r="240" spans="2:8" ht="15.75" customHeight="1" x14ac:dyDescent="0.15">
      <c r="B240" s="11"/>
      <c r="C240" s="11"/>
      <c r="D240" s="12"/>
      <c r="E240" s="12"/>
      <c r="F240" s="11"/>
      <c r="G240" s="11"/>
      <c r="H240" s="11"/>
    </row>
    <row r="241" spans="2:8" ht="15.75" customHeight="1" x14ac:dyDescent="0.15">
      <c r="B241" s="11"/>
      <c r="C241" s="11"/>
      <c r="D241" s="12"/>
      <c r="E241" s="12"/>
      <c r="F241" s="11"/>
      <c r="G241" s="11"/>
      <c r="H241" s="11"/>
    </row>
    <row r="242" spans="2:8" ht="15.75" customHeight="1" x14ac:dyDescent="0.15">
      <c r="B242" s="11"/>
      <c r="C242" s="11"/>
      <c r="D242" s="12"/>
      <c r="E242" s="12"/>
      <c r="F242" s="11"/>
      <c r="G242" s="11"/>
      <c r="H242" s="11"/>
    </row>
    <row r="243" spans="2:8" ht="15.75" customHeight="1" x14ac:dyDescent="0.15">
      <c r="B243" s="11"/>
      <c r="C243" s="11"/>
      <c r="D243" s="12"/>
      <c r="E243" s="12"/>
      <c r="F243" s="11"/>
      <c r="G243" s="11"/>
      <c r="H243" s="11"/>
    </row>
    <row r="244" spans="2:8" ht="15.75" customHeight="1" x14ac:dyDescent="0.15">
      <c r="B244" s="11"/>
      <c r="C244" s="11"/>
      <c r="D244" s="12"/>
      <c r="E244" s="12"/>
      <c r="F244" s="11"/>
      <c r="G244" s="11"/>
      <c r="H244" s="11"/>
    </row>
    <row r="245" spans="2:8" ht="15.75" customHeight="1" x14ac:dyDescent="0.15">
      <c r="B245" s="11"/>
      <c r="C245" s="11"/>
      <c r="D245" s="12"/>
      <c r="E245" s="12"/>
      <c r="F245" s="11"/>
      <c r="G245" s="11"/>
      <c r="H245" s="11"/>
    </row>
    <row r="246" spans="2:8" ht="15.75" customHeight="1" x14ac:dyDescent="0.15">
      <c r="B246" s="11"/>
      <c r="C246" s="11"/>
      <c r="D246" s="12"/>
      <c r="E246" s="12"/>
      <c r="F246" s="11"/>
      <c r="G246" s="11"/>
      <c r="H246" s="11"/>
    </row>
    <row r="247" spans="2:8" ht="15.75" customHeight="1" x14ac:dyDescent="0.15">
      <c r="B247" s="11"/>
      <c r="C247" s="11"/>
      <c r="D247" s="12"/>
      <c r="E247" s="12"/>
      <c r="F247" s="11"/>
      <c r="G247" s="11"/>
      <c r="H247" s="11"/>
    </row>
    <row r="248" spans="2:8" ht="15.75" customHeight="1" x14ac:dyDescent="0.15">
      <c r="B248" s="11"/>
      <c r="C248" s="11"/>
      <c r="D248" s="12"/>
      <c r="E248" s="12"/>
      <c r="F248" s="11"/>
      <c r="G248" s="11"/>
      <c r="H248" s="11"/>
    </row>
    <row r="249" spans="2:8" ht="15.75" customHeight="1" x14ac:dyDescent="0.15">
      <c r="B249" s="11"/>
      <c r="C249" s="11"/>
      <c r="D249" s="12"/>
      <c r="E249" s="12"/>
      <c r="F249" s="11"/>
      <c r="G249" s="11"/>
      <c r="H249" s="11"/>
    </row>
    <row r="250" spans="2:8" ht="15.75" customHeight="1" x14ac:dyDescent="0.15">
      <c r="B250" s="11"/>
      <c r="C250" s="11"/>
      <c r="D250" s="12"/>
      <c r="E250" s="12"/>
      <c r="F250" s="11"/>
      <c r="G250" s="11"/>
      <c r="H250" s="11"/>
    </row>
    <row r="251" spans="2:8" ht="15.75" customHeight="1" x14ac:dyDescent="0.15">
      <c r="B251" s="11"/>
      <c r="C251" s="11"/>
      <c r="D251" s="12"/>
      <c r="E251" s="12"/>
      <c r="F251" s="11"/>
      <c r="G251" s="11"/>
      <c r="H251" s="11"/>
    </row>
    <row r="252" spans="2:8" ht="15.75" customHeight="1" x14ac:dyDescent="0.15">
      <c r="B252" s="11"/>
      <c r="C252" s="11"/>
      <c r="D252" s="12"/>
      <c r="E252" s="12"/>
      <c r="F252" s="11"/>
      <c r="G252" s="11"/>
      <c r="H252" s="11"/>
    </row>
    <row r="253" spans="2:8" ht="15.75" customHeight="1" x14ac:dyDescent="0.15">
      <c r="B253" s="11"/>
      <c r="C253" s="11"/>
      <c r="D253" s="12"/>
      <c r="E253" s="12"/>
      <c r="F253" s="11"/>
      <c r="G253" s="11"/>
      <c r="H253" s="11"/>
    </row>
    <row r="254" spans="2:8" ht="15.75" customHeight="1" x14ac:dyDescent="0.15">
      <c r="B254" s="11"/>
      <c r="C254" s="11"/>
      <c r="D254" s="12"/>
      <c r="E254" s="12"/>
      <c r="F254" s="11"/>
      <c r="G254" s="11"/>
      <c r="H254" s="11"/>
    </row>
    <row r="255" spans="2:8" ht="15.75" customHeight="1" x14ac:dyDescent="0.15">
      <c r="B255" s="11"/>
      <c r="C255" s="11"/>
      <c r="D255" s="12"/>
      <c r="E255" s="12"/>
      <c r="F255" s="11"/>
      <c r="G255" s="11"/>
      <c r="H255" s="11"/>
    </row>
    <row r="256" spans="2:8" ht="15.75" customHeight="1" x14ac:dyDescent="0.15">
      <c r="B256" s="11"/>
      <c r="C256" s="11"/>
      <c r="D256" s="12"/>
      <c r="E256" s="12"/>
      <c r="F256" s="11"/>
      <c r="G256" s="11"/>
      <c r="H256" s="11"/>
    </row>
    <row r="257" spans="2:8" ht="15.75" customHeight="1" x14ac:dyDescent="0.15">
      <c r="B257" s="11"/>
      <c r="C257" s="11"/>
      <c r="D257" s="12"/>
      <c r="E257" s="12"/>
      <c r="F257" s="11"/>
      <c r="G257" s="11"/>
      <c r="H257" s="11"/>
    </row>
    <row r="258" spans="2:8" ht="15.75" customHeight="1" x14ac:dyDescent="0.15">
      <c r="B258" s="11"/>
      <c r="C258" s="11"/>
      <c r="D258" s="12"/>
      <c r="E258" s="12"/>
      <c r="F258" s="11"/>
      <c r="G258" s="11"/>
      <c r="H258" s="11"/>
    </row>
    <row r="259" spans="2:8" ht="15.75" customHeight="1" x14ac:dyDescent="0.15">
      <c r="B259" s="11"/>
      <c r="C259" s="11"/>
      <c r="D259" s="12"/>
      <c r="E259" s="12"/>
      <c r="F259" s="11"/>
      <c r="G259" s="11"/>
      <c r="H259" s="11"/>
    </row>
    <row r="260" spans="2:8" ht="15.75" customHeight="1" x14ac:dyDescent="0.15">
      <c r="B260" s="11"/>
      <c r="C260" s="11"/>
      <c r="D260" s="12"/>
      <c r="E260" s="12"/>
      <c r="F260" s="11"/>
      <c r="G260" s="11"/>
      <c r="H260" s="11"/>
    </row>
    <row r="261" spans="2:8" ht="15.75" customHeight="1" x14ac:dyDescent="0.15">
      <c r="B261" s="11"/>
      <c r="C261" s="11"/>
      <c r="D261" s="12"/>
      <c r="E261" s="12"/>
      <c r="F261" s="11"/>
      <c r="G261" s="11"/>
      <c r="H261" s="11"/>
    </row>
    <row r="262" spans="2:8" ht="15.75" customHeight="1" x14ac:dyDescent="0.15">
      <c r="B262" s="11"/>
      <c r="C262" s="11"/>
      <c r="D262" s="12"/>
      <c r="E262" s="12"/>
      <c r="F262" s="11"/>
      <c r="G262" s="11"/>
      <c r="H262" s="11"/>
    </row>
    <row r="263" spans="2:8" ht="15.75" customHeight="1" x14ac:dyDescent="0.15">
      <c r="B263" s="11"/>
      <c r="C263" s="11"/>
      <c r="D263" s="12"/>
      <c r="E263" s="12"/>
      <c r="F263" s="11"/>
      <c r="G263" s="11"/>
      <c r="H263" s="11"/>
    </row>
    <row r="264" spans="2:8" ht="15.75" customHeight="1" x14ac:dyDescent="0.15">
      <c r="B264" s="11"/>
      <c r="C264" s="11"/>
      <c r="D264" s="12"/>
      <c r="E264" s="12"/>
      <c r="F264" s="11"/>
      <c r="G264" s="11"/>
      <c r="H264" s="11"/>
    </row>
    <row r="265" spans="2:8" ht="15.75" customHeight="1" x14ac:dyDescent="0.15">
      <c r="B265" s="11"/>
      <c r="C265" s="11"/>
      <c r="D265" s="12"/>
      <c r="E265" s="12"/>
      <c r="F265" s="11"/>
      <c r="G265" s="11"/>
      <c r="H265" s="11"/>
    </row>
    <row r="266" spans="2:8" ht="15.75" customHeight="1" x14ac:dyDescent="0.15">
      <c r="B266" s="11"/>
      <c r="C266" s="11"/>
      <c r="D266" s="12"/>
      <c r="E266" s="12"/>
      <c r="F266" s="11"/>
      <c r="G266" s="11"/>
      <c r="H266" s="11"/>
    </row>
    <row r="267" spans="2:8" ht="15.75" customHeight="1" x14ac:dyDescent="0.15">
      <c r="B267" s="11"/>
      <c r="C267" s="11"/>
      <c r="D267" s="12"/>
      <c r="E267" s="12"/>
      <c r="F267" s="11"/>
      <c r="G267" s="11"/>
      <c r="H267" s="11"/>
    </row>
    <row r="268" spans="2:8" ht="15.75" customHeight="1" x14ac:dyDescent="0.15">
      <c r="B268" s="11"/>
      <c r="C268" s="11"/>
      <c r="D268" s="12"/>
      <c r="E268" s="12"/>
      <c r="F268" s="11"/>
      <c r="G268" s="11"/>
      <c r="H268" s="11"/>
    </row>
    <row r="269" spans="2:8" ht="15.75" customHeight="1" x14ac:dyDescent="0.15">
      <c r="B269" s="11"/>
      <c r="C269" s="11"/>
      <c r="D269" s="12"/>
      <c r="E269" s="12"/>
      <c r="F269" s="11"/>
      <c r="G269" s="11"/>
      <c r="H269" s="11"/>
    </row>
    <row r="270" spans="2:8" ht="15.75" customHeight="1" x14ac:dyDescent="0.15">
      <c r="B270" s="11"/>
      <c r="C270" s="11"/>
      <c r="D270" s="12"/>
      <c r="E270" s="12"/>
      <c r="F270" s="11"/>
      <c r="G270" s="11"/>
      <c r="H270" s="11"/>
    </row>
    <row r="271" spans="2:8" ht="15.75" customHeight="1" x14ac:dyDescent="0.15">
      <c r="B271" s="11"/>
      <c r="C271" s="11"/>
      <c r="D271" s="12"/>
      <c r="E271" s="12"/>
      <c r="F271" s="11"/>
      <c r="G271" s="11"/>
      <c r="H271" s="11"/>
    </row>
    <row r="272" spans="2:8" ht="15.75" customHeight="1" x14ac:dyDescent="0.15">
      <c r="B272" s="11"/>
      <c r="C272" s="11"/>
      <c r="D272" s="12"/>
      <c r="E272" s="12"/>
      <c r="F272" s="11"/>
      <c r="G272" s="11"/>
      <c r="H272" s="11"/>
    </row>
    <row r="273" spans="2:8" ht="15.75" customHeight="1" x14ac:dyDescent="0.15">
      <c r="B273" s="11"/>
      <c r="C273" s="11"/>
      <c r="D273" s="12"/>
      <c r="E273" s="12"/>
      <c r="F273" s="11"/>
      <c r="G273" s="11"/>
      <c r="H273" s="11"/>
    </row>
    <row r="274" spans="2:8" ht="15.75" customHeight="1" x14ac:dyDescent="0.15">
      <c r="B274" s="11"/>
      <c r="C274" s="11"/>
      <c r="D274" s="12"/>
      <c r="E274" s="12"/>
      <c r="F274" s="11"/>
      <c r="G274" s="11"/>
      <c r="H274" s="11"/>
    </row>
    <row r="275" spans="2:8" ht="15.75" customHeight="1" x14ac:dyDescent="0.15">
      <c r="B275" s="11"/>
      <c r="C275" s="11"/>
      <c r="D275" s="12"/>
      <c r="E275" s="12"/>
      <c r="F275" s="11"/>
      <c r="G275" s="11"/>
      <c r="H275" s="11"/>
    </row>
    <row r="276" spans="2:8" ht="15.75" customHeight="1" x14ac:dyDescent="0.15">
      <c r="B276" s="11"/>
      <c r="C276" s="11"/>
      <c r="D276" s="12"/>
      <c r="E276" s="12"/>
      <c r="F276" s="11"/>
      <c r="G276" s="11"/>
      <c r="H276" s="11"/>
    </row>
    <row r="277" spans="2:8" ht="15.75" customHeight="1" x14ac:dyDescent="0.15">
      <c r="B277" s="11"/>
      <c r="C277" s="11"/>
      <c r="D277" s="12"/>
      <c r="E277" s="12"/>
      <c r="F277" s="11"/>
      <c r="G277" s="11"/>
      <c r="H277" s="11"/>
    </row>
    <row r="278" spans="2:8" ht="15.75" customHeight="1" x14ac:dyDescent="0.15">
      <c r="B278" s="11"/>
      <c r="C278" s="11"/>
      <c r="D278" s="12"/>
      <c r="E278" s="12"/>
      <c r="F278" s="11"/>
      <c r="G278" s="11"/>
      <c r="H278" s="11"/>
    </row>
    <row r="279" spans="2:8" ht="15.75" customHeight="1" x14ac:dyDescent="0.15">
      <c r="B279" s="11"/>
      <c r="C279" s="11"/>
      <c r="D279" s="12"/>
      <c r="E279" s="12"/>
      <c r="F279" s="11"/>
      <c r="G279" s="11"/>
      <c r="H279" s="11"/>
    </row>
    <row r="280" spans="2:8" ht="15.75" customHeight="1" x14ac:dyDescent="0.15">
      <c r="B280" s="11"/>
      <c r="C280" s="11"/>
      <c r="D280" s="12"/>
      <c r="E280" s="12"/>
      <c r="F280" s="11"/>
      <c r="G280" s="11"/>
      <c r="H280" s="11"/>
    </row>
    <row r="281" spans="2:8" ht="15.75" customHeight="1" x14ac:dyDescent="0.15">
      <c r="B281" s="11"/>
      <c r="C281" s="11"/>
      <c r="D281" s="12"/>
      <c r="E281" s="12"/>
      <c r="F281" s="11"/>
      <c r="G281" s="11"/>
      <c r="H281" s="11"/>
    </row>
    <row r="282" spans="2:8" ht="15.75" customHeight="1" x14ac:dyDescent="0.15">
      <c r="B282" s="11"/>
      <c r="C282" s="11"/>
      <c r="D282" s="12"/>
      <c r="E282" s="12"/>
      <c r="F282" s="11"/>
      <c r="G282" s="11"/>
      <c r="H282" s="11"/>
    </row>
    <row r="283" spans="2:8" ht="15.75" customHeight="1" x14ac:dyDescent="0.15">
      <c r="B283" s="11"/>
      <c r="C283" s="11"/>
      <c r="D283" s="12"/>
      <c r="E283" s="12"/>
      <c r="F283" s="11"/>
      <c r="G283" s="11"/>
      <c r="H283" s="11"/>
    </row>
    <row r="284" spans="2:8" ht="15.75" customHeight="1" x14ac:dyDescent="0.15">
      <c r="B284" s="11"/>
      <c r="C284" s="11"/>
      <c r="D284" s="12"/>
      <c r="E284" s="12"/>
      <c r="F284" s="11"/>
      <c r="G284" s="11"/>
      <c r="H284" s="11"/>
    </row>
    <row r="285" spans="2:8" ht="15.75" customHeight="1" x14ac:dyDescent="0.15">
      <c r="B285" s="11"/>
      <c r="C285" s="11"/>
      <c r="D285" s="12"/>
      <c r="E285" s="12"/>
      <c r="F285" s="11"/>
      <c r="G285" s="11"/>
      <c r="H285" s="11"/>
    </row>
    <row r="286" spans="2:8" ht="15.75" customHeight="1" x14ac:dyDescent="0.15">
      <c r="B286" s="11"/>
      <c r="C286" s="11"/>
      <c r="D286" s="12"/>
      <c r="E286" s="12"/>
      <c r="F286" s="11"/>
      <c r="G286" s="11"/>
      <c r="H286" s="11"/>
    </row>
    <row r="287" spans="2:8" ht="15.75" customHeight="1" x14ac:dyDescent="0.15">
      <c r="B287" s="11"/>
      <c r="C287" s="11"/>
      <c r="D287" s="12"/>
      <c r="E287" s="12"/>
      <c r="F287" s="11"/>
      <c r="G287" s="11"/>
      <c r="H287" s="11"/>
    </row>
    <row r="288" spans="2:8" ht="15.75" customHeight="1" x14ac:dyDescent="0.15">
      <c r="B288" s="11"/>
      <c r="C288" s="11"/>
      <c r="D288" s="12"/>
      <c r="E288" s="12"/>
      <c r="F288" s="11"/>
      <c r="G288" s="11"/>
      <c r="H288" s="11"/>
    </row>
    <row r="289" spans="2:8" ht="15.75" customHeight="1" x14ac:dyDescent="0.15">
      <c r="B289" s="11"/>
      <c r="C289" s="11"/>
      <c r="D289" s="12"/>
      <c r="E289" s="12"/>
      <c r="F289" s="11"/>
      <c r="G289" s="11"/>
      <c r="H289" s="11"/>
    </row>
    <row r="290" spans="2:8" ht="15.75" customHeight="1" x14ac:dyDescent="0.15">
      <c r="B290" s="11"/>
      <c r="C290" s="11"/>
      <c r="D290" s="12"/>
      <c r="E290" s="12"/>
      <c r="F290" s="11"/>
      <c r="G290" s="11"/>
      <c r="H290" s="11"/>
    </row>
    <row r="291" spans="2:8" ht="15.75" customHeight="1" x14ac:dyDescent="0.15">
      <c r="B291" s="11"/>
      <c r="C291" s="11"/>
      <c r="D291" s="12"/>
      <c r="E291" s="12"/>
      <c r="F291" s="11"/>
      <c r="G291" s="11"/>
      <c r="H291" s="11"/>
    </row>
    <row r="292" spans="2:8" ht="15.75" customHeight="1" x14ac:dyDescent="0.15">
      <c r="B292" s="11"/>
      <c r="C292" s="11"/>
      <c r="D292" s="12"/>
      <c r="E292" s="12"/>
      <c r="F292" s="11"/>
      <c r="G292" s="11"/>
      <c r="H292" s="11"/>
    </row>
    <row r="293" spans="2:8" ht="15.75" customHeight="1" x14ac:dyDescent="0.15">
      <c r="B293" s="11"/>
      <c r="C293" s="11"/>
      <c r="D293" s="12"/>
      <c r="E293" s="12"/>
      <c r="F293" s="11"/>
      <c r="G293" s="11"/>
      <c r="H293" s="11"/>
    </row>
    <row r="294" spans="2:8" ht="15.75" customHeight="1" x14ac:dyDescent="0.15">
      <c r="B294" s="11"/>
      <c r="C294" s="11"/>
      <c r="D294" s="12"/>
      <c r="E294" s="12"/>
      <c r="F294" s="11"/>
      <c r="G294" s="11"/>
      <c r="H294" s="11"/>
    </row>
    <row r="295" spans="2:8" ht="15.75" customHeight="1" x14ac:dyDescent="0.15">
      <c r="B295" s="11"/>
      <c r="C295" s="11"/>
      <c r="D295" s="12"/>
      <c r="E295" s="12"/>
      <c r="F295" s="11"/>
      <c r="G295" s="11"/>
      <c r="H295" s="11"/>
    </row>
    <row r="296" spans="2:8" ht="15.75" customHeight="1" x14ac:dyDescent="0.15">
      <c r="B296" s="11"/>
      <c r="C296" s="11"/>
      <c r="D296" s="12"/>
      <c r="E296" s="12"/>
      <c r="F296" s="11"/>
      <c r="G296" s="11"/>
      <c r="H296" s="11"/>
    </row>
    <row r="297" spans="2:8" ht="15.75" customHeight="1" x14ac:dyDescent="0.15">
      <c r="B297" s="11"/>
      <c r="C297" s="11"/>
      <c r="D297" s="12"/>
      <c r="E297" s="12"/>
      <c r="F297" s="11"/>
      <c r="G297" s="11"/>
      <c r="H297" s="11"/>
    </row>
    <row r="298" spans="2:8" ht="15.75" customHeight="1" x14ac:dyDescent="0.15">
      <c r="B298" s="11"/>
      <c r="C298" s="11"/>
      <c r="D298" s="12"/>
      <c r="E298" s="12"/>
      <c r="F298" s="11"/>
      <c r="G298" s="11"/>
      <c r="H298" s="11"/>
    </row>
    <row r="299" spans="2:8" ht="15.75" customHeight="1" x14ac:dyDescent="0.15">
      <c r="B299" s="11"/>
      <c r="C299" s="11"/>
      <c r="D299" s="12"/>
      <c r="E299" s="12"/>
      <c r="F299" s="11"/>
      <c r="G299" s="11"/>
      <c r="H299" s="11"/>
    </row>
    <row r="300" spans="2:8" ht="15.75" customHeight="1" x14ac:dyDescent="0.15">
      <c r="B300" s="11"/>
      <c r="C300" s="11"/>
      <c r="D300" s="12"/>
      <c r="E300" s="12"/>
      <c r="F300" s="11"/>
      <c r="G300" s="11"/>
      <c r="H300" s="11"/>
    </row>
    <row r="301" spans="2:8" ht="15.75" customHeight="1" x14ac:dyDescent="0.15">
      <c r="B301" s="11"/>
      <c r="C301" s="11"/>
      <c r="D301" s="12"/>
      <c r="E301" s="12"/>
      <c r="F301" s="11"/>
      <c r="G301" s="11"/>
      <c r="H301" s="11"/>
    </row>
    <row r="302" spans="2:8" ht="15.75" customHeight="1" x14ac:dyDescent="0.15">
      <c r="B302" s="11"/>
      <c r="C302" s="11"/>
      <c r="D302" s="12"/>
      <c r="E302" s="12"/>
      <c r="F302" s="11"/>
      <c r="G302" s="11"/>
      <c r="H302" s="11"/>
    </row>
    <row r="303" spans="2:8" ht="15.75" customHeight="1" x14ac:dyDescent="0.15">
      <c r="B303" s="11"/>
      <c r="C303" s="11"/>
      <c r="D303" s="12"/>
      <c r="E303" s="12"/>
      <c r="F303" s="11"/>
      <c r="G303" s="11"/>
      <c r="H303" s="11"/>
    </row>
    <row r="304" spans="2:8" ht="15.75" customHeight="1" x14ac:dyDescent="0.15">
      <c r="B304" s="11"/>
      <c r="C304" s="11"/>
      <c r="D304" s="12"/>
      <c r="E304" s="12"/>
      <c r="F304" s="11"/>
      <c r="G304" s="11"/>
      <c r="H304" s="11"/>
    </row>
    <row r="305" spans="2:8" ht="15.75" customHeight="1" x14ac:dyDescent="0.15">
      <c r="B305" s="11"/>
      <c r="C305" s="11"/>
      <c r="D305" s="12"/>
      <c r="E305" s="12"/>
      <c r="F305" s="11"/>
      <c r="G305" s="11"/>
      <c r="H305" s="11"/>
    </row>
    <row r="306" spans="2:8" ht="15.75" customHeight="1" x14ac:dyDescent="0.15">
      <c r="B306" s="11"/>
      <c r="C306" s="11"/>
      <c r="D306" s="12"/>
      <c r="E306" s="12"/>
      <c r="F306" s="11"/>
      <c r="G306" s="11"/>
      <c r="H306" s="11"/>
    </row>
    <row r="307" spans="2:8" ht="15.75" customHeight="1" x14ac:dyDescent="0.15">
      <c r="B307" s="11"/>
      <c r="C307" s="11"/>
      <c r="D307" s="12"/>
      <c r="E307" s="12"/>
      <c r="F307" s="11"/>
      <c r="G307" s="11"/>
      <c r="H307" s="11"/>
    </row>
    <row r="308" spans="2:8" ht="15.75" customHeight="1" x14ac:dyDescent="0.15">
      <c r="B308" s="11"/>
      <c r="C308" s="11"/>
      <c r="D308" s="12"/>
      <c r="E308" s="12"/>
      <c r="F308" s="11"/>
      <c r="G308" s="11"/>
      <c r="H308" s="11"/>
    </row>
    <row r="309" spans="2:8" ht="15.75" customHeight="1" x14ac:dyDescent="0.15">
      <c r="B309" s="11"/>
      <c r="C309" s="11"/>
      <c r="D309" s="12"/>
      <c r="E309" s="12"/>
      <c r="F309" s="11"/>
      <c r="G309" s="11"/>
      <c r="H309" s="11"/>
    </row>
    <row r="310" spans="2:8" ht="15.75" customHeight="1" x14ac:dyDescent="0.15">
      <c r="B310" s="11"/>
      <c r="C310" s="11"/>
      <c r="D310" s="12"/>
      <c r="E310" s="12"/>
      <c r="F310" s="11"/>
      <c r="G310" s="11"/>
      <c r="H310" s="11"/>
    </row>
    <row r="311" spans="2:8" ht="15.75" customHeight="1" x14ac:dyDescent="0.15">
      <c r="B311" s="11"/>
      <c r="C311" s="11"/>
      <c r="D311" s="12"/>
      <c r="E311" s="12"/>
      <c r="F311" s="11"/>
      <c r="G311" s="11"/>
      <c r="H311" s="11"/>
    </row>
    <row r="312" spans="2:8" ht="15.75" customHeight="1" x14ac:dyDescent="0.15">
      <c r="B312" s="11"/>
      <c r="C312" s="11"/>
      <c r="D312" s="12"/>
      <c r="E312" s="12"/>
      <c r="F312" s="11"/>
      <c r="G312" s="11"/>
      <c r="H312" s="11"/>
    </row>
    <row r="313" spans="2:8" ht="15.75" customHeight="1" x14ac:dyDescent="0.15">
      <c r="B313" s="11"/>
      <c r="C313" s="11"/>
      <c r="D313" s="12"/>
      <c r="E313" s="12"/>
      <c r="F313" s="11"/>
      <c r="G313" s="11"/>
      <c r="H313" s="11"/>
    </row>
    <row r="314" spans="2:8" ht="15.75" customHeight="1" x14ac:dyDescent="0.15">
      <c r="B314" s="11"/>
      <c r="C314" s="11"/>
      <c r="D314" s="12"/>
      <c r="E314" s="12"/>
      <c r="F314" s="11"/>
      <c r="G314" s="11"/>
      <c r="H314" s="11"/>
    </row>
    <row r="315" spans="2:8" ht="15.75" customHeight="1" x14ac:dyDescent="0.15">
      <c r="B315" s="11"/>
      <c r="C315" s="11"/>
      <c r="D315" s="12"/>
      <c r="E315" s="12"/>
      <c r="F315" s="11"/>
      <c r="G315" s="11"/>
      <c r="H315" s="11"/>
    </row>
    <row r="316" spans="2:8" ht="15.75" customHeight="1" x14ac:dyDescent="0.15">
      <c r="B316" s="11"/>
      <c r="C316" s="11"/>
      <c r="D316" s="12"/>
      <c r="E316" s="12"/>
      <c r="F316" s="11"/>
      <c r="G316" s="11"/>
      <c r="H316" s="11"/>
    </row>
    <row r="317" spans="2:8" ht="15.75" customHeight="1" x14ac:dyDescent="0.15">
      <c r="B317" s="11"/>
      <c r="C317" s="11"/>
      <c r="D317" s="12"/>
      <c r="E317" s="12"/>
      <c r="F317" s="11"/>
      <c r="G317" s="11"/>
      <c r="H317" s="11"/>
    </row>
    <row r="318" spans="2:8" ht="15.75" customHeight="1" x14ac:dyDescent="0.15">
      <c r="B318" s="11"/>
      <c r="C318" s="11"/>
      <c r="D318" s="12"/>
      <c r="E318" s="12"/>
      <c r="F318" s="11"/>
      <c r="G318" s="11"/>
      <c r="H318" s="11"/>
    </row>
    <row r="319" spans="2:8" ht="15.75" customHeight="1" x14ac:dyDescent="0.15">
      <c r="B319" s="11"/>
      <c r="C319" s="11"/>
      <c r="D319" s="12"/>
      <c r="E319" s="12"/>
      <c r="F319" s="11"/>
      <c r="G319" s="11"/>
      <c r="H319" s="11"/>
    </row>
    <row r="320" spans="2:8" ht="15.75" customHeight="1" x14ac:dyDescent="0.15">
      <c r="B320" s="11"/>
      <c r="C320" s="11"/>
      <c r="D320" s="12"/>
      <c r="E320" s="12"/>
      <c r="F320" s="11"/>
      <c r="G320" s="11"/>
      <c r="H320" s="11"/>
    </row>
    <row r="321" spans="2:8" ht="15.75" customHeight="1" x14ac:dyDescent="0.15">
      <c r="B321" s="11"/>
      <c r="C321" s="11"/>
      <c r="D321" s="12"/>
      <c r="E321" s="12"/>
      <c r="F321" s="11"/>
      <c r="G321" s="11"/>
      <c r="H321" s="11"/>
    </row>
    <row r="322" spans="2:8" ht="15.75" customHeight="1" x14ac:dyDescent="0.15">
      <c r="B322" s="11"/>
      <c r="C322" s="11"/>
      <c r="D322" s="12"/>
      <c r="E322" s="12"/>
      <c r="F322" s="11"/>
      <c r="G322" s="11"/>
      <c r="H322" s="11"/>
    </row>
    <row r="323" spans="2:8" ht="15.75" customHeight="1" x14ac:dyDescent="0.15">
      <c r="B323" s="11"/>
      <c r="C323" s="11"/>
      <c r="D323" s="12"/>
      <c r="E323" s="12"/>
      <c r="F323" s="11"/>
      <c r="G323" s="11"/>
      <c r="H323" s="11"/>
    </row>
    <row r="324" spans="2:8" ht="15.75" customHeight="1" x14ac:dyDescent="0.15">
      <c r="B324" s="11"/>
      <c r="C324" s="11"/>
      <c r="D324" s="12"/>
      <c r="E324" s="12"/>
      <c r="F324" s="11"/>
      <c r="G324" s="11"/>
      <c r="H324" s="11"/>
    </row>
    <row r="325" spans="2:8" ht="15.75" customHeight="1" x14ac:dyDescent="0.15">
      <c r="B325" s="11"/>
      <c r="C325" s="11"/>
      <c r="D325" s="12"/>
      <c r="E325" s="12"/>
      <c r="F325" s="11"/>
      <c r="G325" s="11"/>
      <c r="H325" s="11"/>
    </row>
    <row r="326" spans="2:8" ht="15.75" customHeight="1" x14ac:dyDescent="0.15">
      <c r="B326" s="11"/>
      <c r="C326" s="11"/>
      <c r="D326" s="12"/>
      <c r="E326" s="12"/>
      <c r="F326" s="11"/>
      <c r="G326" s="11"/>
      <c r="H326" s="11"/>
    </row>
    <row r="327" spans="2:8" ht="15.75" customHeight="1" x14ac:dyDescent="0.15">
      <c r="B327" s="11"/>
      <c r="C327" s="11"/>
      <c r="D327" s="12"/>
      <c r="E327" s="12"/>
      <c r="F327" s="11"/>
      <c r="G327" s="11"/>
      <c r="H327" s="11"/>
    </row>
    <row r="328" spans="2:8" ht="15.75" customHeight="1" x14ac:dyDescent="0.15">
      <c r="B328" s="11"/>
      <c r="C328" s="11"/>
      <c r="D328" s="12"/>
      <c r="E328" s="12"/>
      <c r="F328" s="11"/>
      <c r="G328" s="11"/>
      <c r="H328" s="11"/>
    </row>
    <row r="329" spans="2:8" ht="15.75" customHeight="1" x14ac:dyDescent="0.15">
      <c r="B329" s="11"/>
      <c r="C329" s="11"/>
      <c r="D329" s="12"/>
      <c r="E329" s="12"/>
      <c r="F329" s="11"/>
      <c r="G329" s="11"/>
      <c r="H329" s="11"/>
    </row>
    <row r="330" spans="2:8" ht="15.75" customHeight="1" x14ac:dyDescent="0.15">
      <c r="B330" s="11"/>
      <c r="C330" s="11"/>
      <c r="D330" s="12"/>
      <c r="E330" s="12"/>
      <c r="F330" s="11"/>
      <c r="G330" s="11"/>
      <c r="H330" s="11"/>
    </row>
    <row r="331" spans="2:8" ht="15.75" customHeight="1" x14ac:dyDescent="0.15">
      <c r="B331" s="11"/>
      <c r="C331" s="11"/>
      <c r="D331" s="12"/>
      <c r="E331" s="12"/>
      <c r="F331" s="11"/>
      <c r="G331" s="11"/>
      <c r="H331" s="11"/>
    </row>
    <row r="332" spans="2:8" ht="15.75" customHeight="1" x14ac:dyDescent="0.15">
      <c r="B332" s="11"/>
      <c r="C332" s="11"/>
      <c r="D332" s="12"/>
      <c r="E332" s="12"/>
      <c r="F332" s="11"/>
      <c r="G332" s="11"/>
      <c r="H332" s="11"/>
    </row>
    <row r="333" spans="2:8" ht="15.75" customHeight="1" x14ac:dyDescent="0.15">
      <c r="B333" s="11"/>
      <c r="C333" s="11"/>
      <c r="D333" s="12"/>
      <c r="E333" s="12"/>
      <c r="F333" s="11"/>
      <c r="G333" s="11"/>
      <c r="H333" s="11"/>
    </row>
    <row r="334" spans="2:8" ht="15.75" customHeight="1" x14ac:dyDescent="0.15">
      <c r="B334" s="11"/>
      <c r="C334" s="11"/>
      <c r="D334" s="12"/>
      <c r="E334" s="12"/>
      <c r="F334" s="11"/>
      <c r="G334" s="11"/>
      <c r="H334" s="11"/>
    </row>
    <row r="335" spans="2:8" ht="15.75" customHeight="1" x14ac:dyDescent="0.15">
      <c r="B335" s="11"/>
      <c r="C335" s="11"/>
      <c r="D335" s="12"/>
      <c r="E335" s="12"/>
      <c r="F335" s="11"/>
      <c r="G335" s="11"/>
      <c r="H335" s="11"/>
    </row>
    <row r="336" spans="2:8" ht="15.75" customHeight="1" x14ac:dyDescent="0.15">
      <c r="B336" s="11"/>
      <c r="C336" s="11"/>
      <c r="D336" s="12"/>
      <c r="E336" s="12"/>
      <c r="F336" s="11"/>
      <c r="G336" s="11"/>
      <c r="H336" s="11"/>
    </row>
    <row r="337" spans="2:8" ht="15.75" customHeight="1" x14ac:dyDescent="0.15">
      <c r="B337" s="11"/>
      <c r="C337" s="11"/>
      <c r="D337" s="12"/>
      <c r="E337" s="12"/>
      <c r="F337" s="11"/>
      <c r="G337" s="11"/>
      <c r="H337" s="11"/>
    </row>
    <row r="338" spans="2:8" ht="15.75" customHeight="1" x14ac:dyDescent="0.15">
      <c r="B338" s="11"/>
      <c r="C338" s="11"/>
      <c r="D338" s="12"/>
      <c r="E338" s="12"/>
      <c r="F338" s="11"/>
      <c r="G338" s="11"/>
      <c r="H338" s="11"/>
    </row>
    <row r="339" spans="2:8" ht="15.75" customHeight="1" x14ac:dyDescent="0.15">
      <c r="B339" s="11"/>
      <c r="C339" s="11"/>
      <c r="D339" s="12"/>
      <c r="E339" s="12"/>
      <c r="F339" s="11"/>
      <c r="G339" s="11"/>
      <c r="H339" s="11"/>
    </row>
    <row r="340" spans="2:8" ht="15.75" customHeight="1" x14ac:dyDescent="0.15">
      <c r="B340" s="11"/>
      <c r="C340" s="11"/>
      <c r="D340" s="12"/>
      <c r="E340" s="12"/>
      <c r="F340" s="11"/>
      <c r="G340" s="11"/>
      <c r="H340" s="11"/>
    </row>
    <row r="341" spans="2:8" ht="15.75" customHeight="1" x14ac:dyDescent="0.15">
      <c r="B341" s="11"/>
      <c r="C341" s="11"/>
      <c r="D341" s="12"/>
      <c r="E341" s="12"/>
      <c r="F341" s="11"/>
      <c r="G341" s="11"/>
      <c r="H341" s="11"/>
    </row>
    <row r="342" spans="2:8" ht="15.75" customHeight="1" x14ac:dyDescent="0.15">
      <c r="B342" s="11"/>
      <c r="C342" s="11"/>
      <c r="D342" s="12"/>
      <c r="E342" s="12"/>
      <c r="F342" s="11"/>
      <c r="G342" s="11"/>
      <c r="H342" s="11"/>
    </row>
    <row r="343" spans="2:8" ht="15.75" customHeight="1" x14ac:dyDescent="0.15">
      <c r="B343" s="11"/>
      <c r="C343" s="11"/>
      <c r="D343" s="12"/>
      <c r="E343" s="12"/>
      <c r="F343" s="11"/>
      <c r="G343" s="11"/>
      <c r="H343" s="11"/>
    </row>
    <row r="344" spans="2:8" ht="15.75" customHeight="1" x14ac:dyDescent="0.15">
      <c r="B344" s="11"/>
      <c r="C344" s="11"/>
      <c r="D344" s="12"/>
      <c r="E344" s="12"/>
      <c r="F344" s="11"/>
      <c r="G344" s="11"/>
      <c r="H344" s="11"/>
    </row>
    <row r="345" spans="2:8" ht="15.75" customHeight="1" x14ac:dyDescent="0.15">
      <c r="B345" s="11"/>
      <c r="C345" s="11"/>
      <c r="D345" s="12"/>
      <c r="E345" s="12"/>
      <c r="F345" s="11"/>
      <c r="G345" s="11"/>
      <c r="H345" s="11"/>
    </row>
    <row r="346" spans="2:8" ht="15.75" customHeight="1" x14ac:dyDescent="0.15">
      <c r="B346" s="11"/>
      <c r="C346" s="11"/>
      <c r="D346" s="12"/>
      <c r="E346" s="12"/>
      <c r="F346" s="11"/>
      <c r="G346" s="11"/>
      <c r="H346" s="11"/>
    </row>
    <row r="347" spans="2:8" ht="15.75" customHeight="1" x14ac:dyDescent="0.15">
      <c r="B347" s="11"/>
      <c r="C347" s="11"/>
      <c r="D347" s="12"/>
      <c r="E347" s="12"/>
      <c r="F347" s="11"/>
      <c r="G347" s="11"/>
      <c r="H347" s="11"/>
    </row>
    <row r="348" spans="2:8" ht="15.75" customHeight="1" x14ac:dyDescent="0.15">
      <c r="B348" s="11"/>
      <c r="C348" s="11"/>
      <c r="D348" s="12"/>
      <c r="E348" s="12"/>
      <c r="F348" s="11"/>
      <c r="G348" s="11"/>
      <c r="H348" s="11"/>
    </row>
    <row r="349" spans="2:8" ht="15.75" customHeight="1" x14ac:dyDescent="0.15">
      <c r="B349" s="11"/>
      <c r="C349" s="11"/>
      <c r="D349" s="12"/>
      <c r="E349" s="12"/>
      <c r="F349" s="11"/>
      <c r="G349" s="11"/>
      <c r="H349" s="11"/>
    </row>
    <row r="350" spans="2:8" ht="15.75" customHeight="1" x14ac:dyDescent="0.15">
      <c r="B350" s="11"/>
      <c r="C350" s="11"/>
      <c r="D350" s="12"/>
      <c r="E350" s="12"/>
      <c r="F350" s="11"/>
      <c r="G350" s="11"/>
      <c r="H350" s="11"/>
    </row>
    <row r="351" spans="2:8" ht="15.75" customHeight="1" x14ac:dyDescent="0.15">
      <c r="B351" s="11"/>
      <c r="C351" s="11"/>
      <c r="D351" s="12"/>
      <c r="E351" s="12"/>
      <c r="F351" s="11"/>
      <c r="G351" s="11"/>
      <c r="H351" s="11"/>
    </row>
    <row r="352" spans="2:8" ht="15.75" customHeight="1" x14ac:dyDescent="0.15">
      <c r="B352" s="11"/>
      <c r="C352" s="11"/>
      <c r="D352" s="12"/>
      <c r="E352" s="12"/>
      <c r="F352" s="11"/>
      <c r="G352" s="11"/>
      <c r="H352" s="11"/>
    </row>
    <row r="353" spans="2:8" ht="15.75" customHeight="1" x14ac:dyDescent="0.15">
      <c r="B353" s="11"/>
      <c r="C353" s="11"/>
      <c r="D353" s="12"/>
      <c r="E353" s="12"/>
      <c r="F353" s="11"/>
      <c r="G353" s="11"/>
      <c r="H353" s="11"/>
    </row>
    <row r="354" spans="2:8" ht="15.75" customHeight="1" x14ac:dyDescent="0.15">
      <c r="B354" s="11"/>
      <c r="C354" s="11"/>
      <c r="D354" s="12"/>
      <c r="E354" s="12"/>
      <c r="F354" s="11"/>
      <c r="G354" s="11"/>
      <c r="H354" s="11"/>
    </row>
    <row r="355" spans="2:8" ht="15.75" customHeight="1" x14ac:dyDescent="0.15">
      <c r="B355" s="11"/>
      <c r="C355" s="11"/>
      <c r="D355" s="12"/>
      <c r="E355" s="12"/>
      <c r="F355" s="11"/>
      <c r="G355" s="11"/>
      <c r="H355" s="11"/>
    </row>
    <row r="356" spans="2:8" ht="15.75" customHeight="1" x14ac:dyDescent="0.15">
      <c r="B356" s="11"/>
      <c r="C356" s="11"/>
      <c r="D356" s="12"/>
      <c r="E356" s="12"/>
      <c r="F356" s="11"/>
      <c r="G356" s="11"/>
      <c r="H356" s="11"/>
    </row>
    <row r="357" spans="2:8" ht="15.75" customHeight="1" x14ac:dyDescent="0.15">
      <c r="B357" s="11"/>
      <c r="C357" s="11"/>
      <c r="D357" s="12"/>
      <c r="E357" s="12"/>
      <c r="F357" s="11"/>
      <c r="G357" s="11"/>
      <c r="H357" s="11"/>
    </row>
    <row r="358" spans="2:8" ht="15.75" customHeight="1" x14ac:dyDescent="0.15">
      <c r="B358" s="11"/>
      <c r="C358" s="11"/>
      <c r="D358" s="12"/>
      <c r="E358" s="12"/>
      <c r="F358" s="11"/>
      <c r="G358" s="11"/>
      <c r="H358" s="11"/>
    </row>
    <row r="359" spans="2:8" ht="15.75" customHeight="1" x14ac:dyDescent="0.15">
      <c r="B359" s="11"/>
      <c r="C359" s="11"/>
      <c r="D359" s="12"/>
      <c r="E359" s="12"/>
      <c r="F359" s="11"/>
      <c r="G359" s="11"/>
      <c r="H359" s="11"/>
    </row>
    <row r="360" spans="2:8" ht="15.75" customHeight="1" x14ac:dyDescent="0.15">
      <c r="B360" s="11"/>
      <c r="C360" s="11"/>
      <c r="D360" s="12"/>
      <c r="E360" s="12"/>
      <c r="F360" s="11"/>
      <c r="G360" s="11"/>
      <c r="H360" s="11"/>
    </row>
    <row r="361" spans="2:8" ht="15.75" customHeight="1" x14ac:dyDescent="0.15">
      <c r="B361" s="11"/>
      <c r="C361" s="11"/>
      <c r="D361" s="12"/>
      <c r="E361" s="12"/>
      <c r="F361" s="11"/>
      <c r="G361" s="11"/>
      <c r="H361" s="11"/>
    </row>
    <row r="362" spans="2:8" ht="15.75" customHeight="1" x14ac:dyDescent="0.15">
      <c r="B362" s="11"/>
      <c r="C362" s="11"/>
      <c r="D362" s="12"/>
      <c r="E362" s="12"/>
      <c r="F362" s="11"/>
      <c r="G362" s="11"/>
      <c r="H362" s="11"/>
    </row>
    <row r="363" spans="2:8" ht="15.75" customHeight="1" x14ac:dyDescent="0.15">
      <c r="B363" s="11"/>
      <c r="C363" s="11"/>
      <c r="D363" s="12"/>
      <c r="E363" s="12"/>
      <c r="F363" s="11"/>
      <c r="G363" s="11"/>
      <c r="H363" s="11"/>
    </row>
    <row r="364" spans="2:8" ht="15.75" customHeight="1" x14ac:dyDescent="0.15">
      <c r="B364" s="11"/>
      <c r="C364" s="11"/>
      <c r="D364" s="12"/>
      <c r="E364" s="12"/>
      <c r="F364" s="11"/>
      <c r="G364" s="11"/>
      <c r="H364" s="11"/>
    </row>
    <row r="365" spans="2:8" ht="15.75" customHeight="1" x14ac:dyDescent="0.15">
      <c r="B365" s="11"/>
      <c r="C365" s="11"/>
      <c r="D365" s="12"/>
      <c r="E365" s="12"/>
      <c r="F365" s="11"/>
      <c r="G365" s="11"/>
      <c r="H365" s="11"/>
    </row>
    <row r="366" spans="2:8" ht="15.75" customHeight="1" x14ac:dyDescent="0.15">
      <c r="B366" s="11"/>
      <c r="C366" s="11"/>
      <c r="D366" s="12"/>
      <c r="E366" s="12"/>
      <c r="F366" s="11"/>
      <c r="G366" s="11"/>
      <c r="H366" s="11"/>
    </row>
    <row r="367" spans="2:8" ht="15.75" customHeight="1" x14ac:dyDescent="0.15">
      <c r="B367" s="11"/>
      <c r="C367" s="11"/>
      <c r="D367" s="12"/>
      <c r="E367" s="12"/>
      <c r="F367" s="11"/>
      <c r="G367" s="11"/>
      <c r="H367" s="11"/>
    </row>
    <row r="368" spans="2:8" ht="15.75" customHeight="1" x14ac:dyDescent="0.15">
      <c r="B368" s="11"/>
      <c r="C368" s="11"/>
      <c r="D368" s="12"/>
      <c r="E368" s="12"/>
      <c r="F368" s="11"/>
      <c r="G368" s="11"/>
      <c r="H368" s="11"/>
    </row>
    <row r="369" spans="2:8" ht="15.75" customHeight="1" x14ac:dyDescent="0.15">
      <c r="B369" s="11"/>
      <c r="C369" s="11"/>
      <c r="D369" s="12"/>
      <c r="E369" s="12"/>
      <c r="F369" s="11"/>
      <c r="G369" s="11"/>
      <c r="H369" s="11"/>
    </row>
    <row r="370" spans="2:8" ht="15.75" customHeight="1" x14ac:dyDescent="0.15">
      <c r="B370" s="11"/>
      <c r="C370" s="11"/>
      <c r="D370" s="12"/>
      <c r="E370" s="12"/>
      <c r="F370" s="11"/>
      <c r="G370" s="11"/>
      <c r="H370" s="11"/>
    </row>
    <row r="371" spans="2:8" ht="15.75" customHeight="1" x14ac:dyDescent="0.15">
      <c r="B371" s="11"/>
      <c r="C371" s="11"/>
      <c r="D371" s="12"/>
      <c r="E371" s="12"/>
      <c r="F371" s="11"/>
      <c r="G371" s="11"/>
      <c r="H371" s="11"/>
    </row>
    <row r="372" spans="2:8" ht="15.75" customHeight="1" x14ac:dyDescent="0.15">
      <c r="B372" s="11"/>
      <c r="C372" s="11"/>
      <c r="D372" s="12"/>
      <c r="E372" s="12"/>
      <c r="F372" s="11"/>
      <c r="G372" s="11"/>
      <c r="H372" s="11"/>
    </row>
    <row r="373" spans="2:8" ht="15.75" customHeight="1" x14ac:dyDescent="0.15">
      <c r="B373" s="11"/>
      <c r="C373" s="11"/>
      <c r="D373" s="12"/>
      <c r="E373" s="12"/>
      <c r="F373" s="11"/>
      <c r="G373" s="11"/>
      <c r="H373" s="11"/>
    </row>
    <row r="374" spans="2:8" ht="15.75" customHeight="1" x14ac:dyDescent="0.15">
      <c r="B374" s="11"/>
      <c r="C374" s="11"/>
      <c r="D374" s="12"/>
      <c r="E374" s="12"/>
      <c r="F374" s="11"/>
      <c r="G374" s="11"/>
      <c r="H374" s="11"/>
    </row>
    <row r="375" spans="2:8" ht="15.75" customHeight="1" x14ac:dyDescent="0.15">
      <c r="B375" s="11"/>
      <c r="C375" s="11"/>
      <c r="D375" s="12"/>
      <c r="E375" s="12"/>
      <c r="F375" s="11"/>
      <c r="G375" s="11"/>
      <c r="H375" s="11"/>
    </row>
    <row r="376" spans="2:8" ht="15.75" customHeight="1" x14ac:dyDescent="0.15">
      <c r="B376" s="11"/>
      <c r="C376" s="11"/>
      <c r="D376" s="12"/>
      <c r="E376" s="12"/>
      <c r="F376" s="11"/>
      <c r="G376" s="11"/>
      <c r="H376" s="11"/>
    </row>
    <row r="377" spans="2:8" ht="15.75" customHeight="1" x14ac:dyDescent="0.15">
      <c r="B377" s="11"/>
      <c r="C377" s="11"/>
      <c r="D377" s="12"/>
      <c r="E377" s="12"/>
      <c r="F377" s="11"/>
      <c r="G377" s="11"/>
      <c r="H377" s="11"/>
    </row>
    <row r="378" spans="2:8" ht="15.75" customHeight="1" x14ac:dyDescent="0.15">
      <c r="B378" s="11"/>
      <c r="C378" s="11"/>
      <c r="D378" s="12"/>
      <c r="E378" s="12"/>
      <c r="F378" s="11"/>
      <c r="G378" s="11"/>
      <c r="H378" s="11"/>
    </row>
    <row r="379" spans="2:8" ht="15.75" customHeight="1" x14ac:dyDescent="0.15">
      <c r="B379" s="11"/>
      <c r="C379" s="11"/>
      <c r="D379" s="12"/>
      <c r="E379" s="12"/>
      <c r="F379" s="11"/>
      <c r="G379" s="11"/>
      <c r="H379" s="11"/>
    </row>
    <row r="380" spans="2:8" ht="15.75" customHeight="1" x14ac:dyDescent="0.15">
      <c r="B380" s="11"/>
      <c r="C380" s="11"/>
      <c r="D380" s="12"/>
      <c r="E380" s="12"/>
      <c r="F380" s="11"/>
      <c r="G380" s="11"/>
      <c r="H380" s="11"/>
    </row>
    <row r="381" spans="2:8" ht="15.75" customHeight="1" x14ac:dyDescent="0.15">
      <c r="B381" s="11"/>
      <c r="C381" s="11"/>
      <c r="D381" s="12"/>
      <c r="E381" s="12"/>
      <c r="F381" s="11"/>
      <c r="G381" s="11"/>
      <c r="H381" s="11"/>
    </row>
    <row r="382" spans="2:8" ht="15.75" customHeight="1" x14ac:dyDescent="0.15">
      <c r="B382" s="11"/>
      <c r="C382" s="11"/>
      <c r="D382" s="12"/>
      <c r="E382" s="12"/>
      <c r="F382" s="11"/>
      <c r="G382" s="11"/>
      <c r="H382" s="11"/>
    </row>
    <row r="383" spans="2:8" ht="15.75" customHeight="1" x14ac:dyDescent="0.15">
      <c r="B383" s="11"/>
      <c r="C383" s="11"/>
      <c r="D383" s="12"/>
      <c r="E383" s="12"/>
      <c r="F383" s="11"/>
      <c r="G383" s="11"/>
      <c r="H383" s="11"/>
    </row>
    <row r="384" spans="2:8" ht="15.75" customHeight="1" x14ac:dyDescent="0.15">
      <c r="B384" s="11"/>
      <c r="C384" s="11"/>
      <c r="D384" s="12"/>
      <c r="E384" s="12"/>
      <c r="F384" s="11"/>
      <c r="G384" s="11"/>
      <c r="H384" s="11"/>
    </row>
    <row r="385" spans="2:8" ht="15.75" customHeight="1" x14ac:dyDescent="0.15">
      <c r="B385" s="11"/>
      <c r="C385" s="11"/>
      <c r="D385" s="12"/>
      <c r="E385" s="12"/>
      <c r="F385" s="11"/>
      <c r="G385" s="11"/>
      <c r="H385" s="11"/>
    </row>
    <row r="386" spans="2:8" ht="15.75" customHeight="1" x14ac:dyDescent="0.15">
      <c r="B386" s="11"/>
      <c r="C386" s="11"/>
      <c r="D386" s="12"/>
      <c r="E386" s="12"/>
      <c r="F386" s="11"/>
      <c r="G386" s="11"/>
      <c r="H386" s="11"/>
    </row>
    <row r="387" spans="2:8" ht="15.75" customHeight="1" x14ac:dyDescent="0.15">
      <c r="B387" s="11"/>
      <c r="C387" s="11"/>
      <c r="D387" s="12"/>
      <c r="E387" s="12"/>
      <c r="F387" s="11"/>
      <c r="G387" s="11"/>
      <c r="H387" s="11"/>
    </row>
    <row r="388" spans="2:8" ht="15.75" customHeight="1" x14ac:dyDescent="0.15">
      <c r="B388" s="11"/>
      <c r="C388" s="11"/>
      <c r="D388" s="12"/>
      <c r="E388" s="12"/>
      <c r="F388" s="11"/>
      <c r="G388" s="11"/>
      <c r="H388" s="11"/>
    </row>
    <row r="389" spans="2:8" ht="15.75" customHeight="1" x14ac:dyDescent="0.15">
      <c r="B389" s="11"/>
      <c r="C389" s="11"/>
      <c r="D389" s="12"/>
      <c r="E389" s="12"/>
      <c r="F389" s="11"/>
      <c r="G389" s="11"/>
      <c r="H389" s="11"/>
    </row>
    <row r="390" spans="2:8" ht="15.75" customHeight="1" x14ac:dyDescent="0.15">
      <c r="B390" s="11"/>
      <c r="C390" s="11"/>
      <c r="D390" s="12"/>
      <c r="E390" s="12"/>
      <c r="F390" s="11"/>
      <c r="G390" s="11"/>
      <c r="H390" s="11"/>
    </row>
    <row r="391" spans="2:8" ht="15.75" customHeight="1" x14ac:dyDescent="0.15">
      <c r="B391" s="11"/>
      <c r="C391" s="11"/>
      <c r="D391" s="12"/>
      <c r="E391" s="12"/>
      <c r="F391" s="11"/>
      <c r="G391" s="11"/>
      <c r="H391" s="11"/>
    </row>
    <row r="392" spans="2:8" ht="15.75" customHeight="1" x14ac:dyDescent="0.15">
      <c r="B392" s="11"/>
      <c r="C392" s="11"/>
      <c r="D392" s="12"/>
      <c r="E392" s="12"/>
      <c r="F392" s="11"/>
      <c r="G392" s="11"/>
      <c r="H392" s="11"/>
    </row>
    <row r="393" spans="2:8" ht="15.75" customHeight="1" x14ac:dyDescent="0.15">
      <c r="B393" s="11"/>
      <c r="C393" s="11"/>
      <c r="D393" s="12"/>
      <c r="E393" s="12"/>
      <c r="F393" s="11"/>
      <c r="G393" s="11"/>
      <c r="H393" s="11"/>
    </row>
    <row r="394" spans="2:8" ht="15.75" customHeight="1" x14ac:dyDescent="0.15">
      <c r="B394" s="11"/>
      <c r="C394" s="11"/>
      <c r="D394" s="12"/>
      <c r="E394" s="12"/>
      <c r="F394" s="11"/>
      <c r="G394" s="11"/>
      <c r="H394" s="11"/>
    </row>
    <row r="395" spans="2:8" ht="15.75" customHeight="1" x14ac:dyDescent="0.15">
      <c r="B395" s="11"/>
      <c r="C395" s="11"/>
      <c r="D395" s="12"/>
      <c r="E395" s="12"/>
      <c r="F395" s="11"/>
      <c r="G395" s="11"/>
      <c r="H395" s="11"/>
    </row>
    <row r="396" spans="2:8" ht="15.75" customHeight="1" x14ac:dyDescent="0.15">
      <c r="B396" s="11"/>
      <c r="C396" s="11"/>
      <c r="D396" s="12"/>
      <c r="E396" s="12"/>
      <c r="F396" s="11"/>
      <c r="G396" s="11"/>
      <c r="H396" s="11"/>
    </row>
    <row r="397" spans="2:8" ht="15.75" customHeight="1" x14ac:dyDescent="0.15">
      <c r="B397" s="11"/>
      <c r="C397" s="11"/>
      <c r="D397" s="12"/>
      <c r="E397" s="12"/>
      <c r="F397" s="11"/>
      <c r="G397" s="11"/>
      <c r="H397" s="11"/>
    </row>
    <row r="398" spans="2:8" ht="15.75" customHeight="1" x14ac:dyDescent="0.15">
      <c r="B398" s="11"/>
      <c r="C398" s="11"/>
      <c r="D398" s="12"/>
      <c r="E398" s="12"/>
      <c r="F398" s="11"/>
      <c r="G398" s="11"/>
      <c r="H398" s="11"/>
    </row>
    <row r="399" spans="2:8" ht="15.75" customHeight="1" x14ac:dyDescent="0.15">
      <c r="B399" s="11"/>
      <c r="C399" s="11"/>
      <c r="D399" s="12"/>
      <c r="E399" s="12"/>
      <c r="F399" s="11"/>
      <c r="G399" s="11"/>
      <c r="H399" s="11"/>
    </row>
    <row r="400" spans="2:8" ht="15.75" customHeight="1" x14ac:dyDescent="0.15">
      <c r="B400" s="11"/>
      <c r="C400" s="11"/>
      <c r="D400" s="12"/>
      <c r="E400" s="12"/>
      <c r="F400" s="11"/>
      <c r="G400" s="11"/>
      <c r="H400" s="11"/>
    </row>
    <row r="401" spans="2:8" ht="15.75" customHeight="1" x14ac:dyDescent="0.15">
      <c r="B401" s="11"/>
      <c r="C401" s="11"/>
      <c r="D401" s="12"/>
      <c r="E401" s="12"/>
      <c r="F401" s="11"/>
      <c r="G401" s="11"/>
      <c r="H401" s="11"/>
    </row>
    <row r="402" spans="2:8" ht="15.75" customHeight="1" x14ac:dyDescent="0.15">
      <c r="B402" s="11"/>
      <c r="C402" s="11"/>
      <c r="D402" s="12"/>
      <c r="E402" s="12"/>
      <c r="F402" s="11"/>
      <c r="G402" s="11"/>
      <c r="H402" s="11"/>
    </row>
    <row r="403" spans="2:8" ht="15.75" customHeight="1" x14ac:dyDescent="0.15">
      <c r="B403" s="11"/>
      <c r="C403" s="11"/>
      <c r="D403" s="12"/>
      <c r="E403" s="12"/>
      <c r="F403" s="11"/>
      <c r="G403" s="11"/>
      <c r="H403" s="11"/>
    </row>
    <row r="404" spans="2:8" ht="15.75" customHeight="1" x14ac:dyDescent="0.15">
      <c r="B404" s="11"/>
      <c r="C404" s="11"/>
      <c r="D404" s="12"/>
      <c r="E404" s="12"/>
      <c r="F404" s="11"/>
      <c r="G404" s="11"/>
      <c r="H404" s="11"/>
    </row>
    <row r="405" spans="2:8" ht="15.75" customHeight="1" x14ac:dyDescent="0.15">
      <c r="B405" s="11"/>
      <c r="C405" s="11"/>
      <c r="D405" s="12"/>
      <c r="E405" s="12"/>
      <c r="F405" s="11"/>
      <c r="G405" s="11"/>
      <c r="H405" s="11"/>
    </row>
    <row r="406" spans="2:8" ht="15.75" customHeight="1" x14ac:dyDescent="0.15">
      <c r="B406" s="11"/>
      <c r="C406" s="11"/>
      <c r="D406" s="12"/>
      <c r="E406" s="12"/>
      <c r="F406" s="11"/>
      <c r="G406" s="11"/>
      <c r="H406" s="11"/>
    </row>
    <row r="407" spans="2:8" ht="15.75" customHeight="1" x14ac:dyDescent="0.15">
      <c r="B407" s="11"/>
      <c r="C407" s="11"/>
      <c r="D407" s="12"/>
      <c r="E407" s="12"/>
      <c r="F407" s="11"/>
      <c r="G407" s="11"/>
      <c r="H407" s="11"/>
    </row>
    <row r="408" spans="2:8" ht="15.75" customHeight="1" x14ac:dyDescent="0.15">
      <c r="B408" s="11"/>
      <c r="C408" s="11"/>
      <c r="D408" s="12"/>
      <c r="E408" s="12"/>
      <c r="F408" s="11"/>
      <c r="G408" s="11"/>
      <c r="H408" s="11"/>
    </row>
    <row r="409" spans="2:8" ht="15.75" customHeight="1" x14ac:dyDescent="0.15">
      <c r="B409" s="11"/>
      <c r="C409" s="11"/>
      <c r="D409" s="12"/>
      <c r="E409" s="12"/>
      <c r="F409" s="11"/>
      <c r="G409" s="11"/>
      <c r="H409" s="11"/>
    </row>
    <row r="410" spans="2:8" ht="15.75" customHeight="1" x14ac:dyDescent="0.15">
      <c r="B410" s="11"/>
      <c r="C410" s="11"/>
      <c r="D410" s="12"/>
      <c r="E410" s="12"/>
      <c r="F410" s="11"/>
      <c r="G410" s="11"/>
      <c r="H410" s="11"/>
    </row>
    <row r="411" spans="2:8" ht="15.75" customHeight="1" x14ac:dyDescent="0.15">
      <c r="B411" s="11"/>
      <c r="C411" s="11"/>
      <c r="D411" s="12"/>
      <c r="E411" s="12"/>
      <c r="F411" s="11"/>
      <c r="G411" s="11"/>
      <c r="H411" s="11"/>
    </row>
    <row r="412" spans="2:8" ht="15.75" customHeight="1" x14ac:dyDescent="0.15">
      <c r="B412" s="11"/>
      <c r="C412" s="11"/>
      <c r="D412" s="12"/>
      <c r="E412" s="12"/>
      <c r="F412" s="11"/>
      <c r="G412" s="11"/>
      <c r="H412" s="11"/>
    </row>
    <row r="413" spans="2:8" ht="15.75" customHeight="1" x14ac:dyDescent="0.15">
      <c r="B413" s="11"/>
      <c r="C413" s="11"/>
      <c r="D413" s="12"/>
      <c r="E413" s="12"/>
      <c r="F413" s="11"/>
      <c r="G413" s="11"/>
      <c r="H413" s="11"/>
    </row>
    <row r="414" spans="2:8" ht="15.75" customHeight="1" x14ac:dyDescent="0.15">
      <c r="B414" s="11"/>
      <c r="C414" s="11"/>
      <c r="D414" s="12"/>
      <c r="E414" s="12"/>
      <c r="F414" s="11"/>
      <c r="G414" s="11"/>
      <c r="H414" s="11"/>
    </row>
    <row r="415" spans="2:8" ht="15.75" customHeight="1" x14ac:dyDescent="0.15">
      <c r="B415" s="11"/>
      <c r="C415" s="11"/>
      <c r="D415" s="12"/>
      <c r="E415" s="12"/>
      <c r="F415" s="11"/>
      <c r="G415" s="11"/>
      <c r="H415" s="11"/>
    </row>
    <row r="416" spans="2:8" ht="15.75" customHeight="1" x14ac:dyDescent="0.15">
      <c r="B416" s="11"/>
      <c r="C416" s="11"/>
      <c r="D416" s="12"/>
      <c r="E416" s="12"/>
      <c r="F416" s="11"/>
      <c r="G416" s="11"/>
      <c r="H416" s="11"/>
    </row>
    <row r="417" spans="2:8" ht="15.75" customHeight="1" x14ac:dyDescent="0.15">
      <c r="B417" s="11"/>
      <c r="C417" s="11"/>
      <c r="D417" s="12"/>
      <c r="E417" s="12"/>
      <c r="F417" s="11"/>
      <c r="G417" s="11"/>
      <c r="H417" s="11"/>
    </row>
    <row r="418" spans="2:8" ht="15.75" customHeight="1" x14ac:dyDescent="0.15">
      <c r="B418" s="11"/>
      <c r="C418" s="11"/>
      <c r="D418" s="12"/>
      <c r="E418" s="12"/>
      <c r="F418" s="11"/>
      <c r="G418" s="11"/>
      <c r="H418" s="11"/>
    </row>
    <row r="419" spans="2:8" ht="15.75" customHeight="1" x14ac:dyDescent="0.15">
      <c r="B419" s="11"/>
      <c r="C419" s="11"/>
      <c r="D419" s="12"/>
      <c r="E419" s="12"/>
      <c r="F419" s="11"/>
      <c r="G419" s="11"/>
      <c r="H419" s="11"/>
    </row>
    <row r="420" spans="2:8" ht="15.75" customHeight="1" x14ac:dyDescent="0.15">
      <c r="B420" s="11"/>
      <c r="C420" s="11"/>
      <c r="D420" s="12"/>
      <c r="E420" s="12"/>
      <c r="F420" s="11"/>
      <c r="G420" s="11"/>
      <c r="H420" s="11"/>
    </row>
    <row r="421" spans="2:8" ht="15.75" customHeight="1" x14ac:dyDescent="0.15">
      <c r="B421" s="11"/>
      <c r="C421" s="11"/>
      <c r="D421" s="12"/>
      <c r="E421" s="12"/>
      <c r="F421" s="11"/>
      <c r="G421" s="11"/>
      <c r="H421" s="11"/>
    </row>
    <row r="422" spans="2:8" ht="15.75" customHeight="1" x14ac:dyDescent="0.15">
      <c r="B422" s="11"/>
      <c r="C422" s="11"/>
      <c r="D422" s="12"/>
      <c r="E422" s="12"/>
      <c r="F422" s="11"/>
      <c r="G422" s="11"/>
      <c r="H422" s="11"/>
    </row>
    <row r="423" spans="2:8" ht="15.75" customHeight="1" x14ac:dyDescent="0.15">
      <c r="B423" s="11"/>
      <c r="C423" s="11"/>
      <c r="D423" s="12"/>
      <c r="E423" s="12"/>
      <c r="F423" s="11"/>
      <c r="G423" s="11"/>
      <c r="H423" s="11"/>
    </row>
    <row r="424" spans="2:8" ht="15.75" customHeight="1" x14ac:dyDescent="0.15">
      <c r="B424" s="11"/>
      <c r="C424" s="11"/>
      <c r="D424" s="12"/>
      <c r="E424" s="12"/>
      <c r="F424" s="11"/>
      <c r="G424" s="11"/>
      <c r="H424" s="11"/>
    </row>
    <row r="425" spans="2:8" ht="15.75" customHeight="1" x14ac:dyDescent="0.15">
      <c r="B425" s="11"/>
      <c r="C425" s="11"/>
      <c r="D425" s="12"/>
      <c r="E425" s="12"/>
      <c r="F425" s="11"/>
      <c r="G425" s="11"/>
      <c r="H425" s="11"/>
    </row>
    <row r="426" spans="2:8" ht="15.75" customHeight="1" x14ac:dyDescent="0.15">
      <c r="B426" s="11"/>
      <c r="C426" s="11"/>
      <c r="D426" s="12"/>
      <c r="E426" s="12"/>
      <c r="F426" s="11"/>
      <c r="G426" s="11"/>
      <c r="H426" s="11"/>
    </row>
    <row r="427" spans="2:8" ht="15.75" customHeight="1" x14ac:dyDescent="0.15">
      <c r="B427" s="11"/>
      <c r="C427" s="11"/>
      <c r="D427" s="12"/>
      <c r="E427" s="12"/>
      <c r="F427" s="11"/>
      <c r="G427" s="11"/>
      <c r="H427" s="11"/>
    </row>
    <row r="428" spans="2:8" ht="15.75" customHeight="1" x14ac:dyDescent="0.15">
      <c r="B428" s="11"/>
      <c r="C428" s="11"/>
      <c r="D428" s="12"/>
      <c r="E428" s="12"/>
      <c r="F428" s="11"/>
      <c r="G428" s="11"/>
      <c r="H428" s="11"/>
    </row>
    <row r="429" spans="2:8" ht="15.75" customHeight="1" x14ac:dyDescent="0.15">
      <c r="B429" s="11"/>
      <c r="C429" s="11"/>
      <c r="D429" s="12"/>
      <c r="E429" s="12"/>
      <c r="F429" s="11"/>
      <c r="G429" s="11"/>
      <c r="H429" s="11"/>
    </row>
    <row r="430" spans="2:8" ht="15.75" customHeight="1" x14ac:dyDescent="0.15">
      <c r="B430" s="11"/>
      <c r="C430" s="11"/>
      <c r="D430" s="12"/>
      <c r="E430" s="12"/>
      <c r="F430" s="11"/>
      <c r="G430" s="11"/>
      <c r="H430" s="11"/>
    </row>
    <row r="431" spans="2:8" ht="15.75" customHeight="1" x14ac:dyDescent="0.15">
      <c r="B431" s="11"/>
      <c r="C431" s="11"/>
      <c r="D431" s="12"/>
      <c r="E431" s="12"/>
      <c r="F431" s="11"/>
      <c r="G431" s="11"/>
      <c r="H431" s="11"/>
    </row>
    <row r="432" spans="2:8" ht="15.75" customHeight="1" x14ac:dyDescent="0.15">
      <c r="B432" s="11"/>
      <c r="C432" s="11"/>
      <c r="D432" s="12"/>
      <c r="E432" s="12"/>
      <c r="F432" s="11"/>
      <c r="G432" s="11"/>
      <c r="H432" s="11"/>
    </row>
    <row r="433" spans="2:8" ht="15.75" customHeight="1" x14ac:dyDescent="0.15">
      <c r="B433" s="11"/>
      <c r="C433" s="11"/>
      <c r="D433" s="12"/>
      <c r="E433" s="12"/>
      <c r="F433" s="11"/>
      <c r="G433" s="11"/>
      <c r="H433" s="11"/>
    </row>
    <row r="434" spans="2:8" ht="15.75" customHeight="1" x14ac:dyDescent="0.15">
      <c r="B434" s="11"/>
      <c r="C434" s="11"/>
      <c r="D434" s="12"/>
      <c r="E434" s="12"/>
      <c r="F434" s="11"/>
      <c r="G434" s="11"/>
      <c r="H434" s="11"/>
    </row>
    <row r="435" spans="2:8" ht="15.75" customHeight="1" x14ac:dyDescent="0.15">
      <c r="B435" s="11"/>
      <c r="C435" s="11"/>
      <c r="D435" s="12"/>
      <c r="E435" s="12"/>
      <c r="F435" s="11"/>
      <c r="G435" s="11"/>
      <c r="H435" s="11"/>
    </row>
    <row r="436" spans="2:8" ht="15.75" customHeight="1" x14ac:dyDescent="0.15">
      <c r="B436" s="11"/>
      <c r="C436" s="11"/>
      <c r="D436" s="12"/>
      <c r="E436" s="12"/>
      <c r="F436" s="11"/>
      <c r="G436" s="11"/>
      <c r="H436" s="11"/>
    </row>
    <row r="437" spans="2:8" ht="15.75" customHeight="1" x14ac:dyDescent="0.15">
      <c r="B437" s="11"/>
      <c r="C437" s="11"/>
      <c r="D437" s="12"/>
      <c r="E437" s="12"/>
      <c r="F437" s="11"/>
      <c r="G437" s="11"/>
      <c r="H437" s="11"/>
    </row>
    <row r="438" spans="2:8" ht="15.75" customHeight="1" x14ac:dyDescent="0.15">
      <c r="B438" s="11"/>
      <c r="C438" s="11"/>
      <c r="D438" s="12"/>
      <c r="E438" s="12"/>
      <c r="F438" s="11"/>
      <c r="G438" s="11"/>
      <c r="H438" s="11"/>
    </row>
    <row r="439" spans="2:8" ht="15.75" customHeight="1" x14ac:dyDescent="0.15">
      <c r="B439" s="11"/>
      <c r="C439" s="11"/>
      <c r="D439" s="12"/>
      <c r="E439" s="12"/>
      <c r="F439" s="11"/>
      <c r="G439" s="11"/>
      <c r="H439" s="11"/>
    </row>
    <row r="440" spans="2:8" ht="15.75" customHeight="1" x14ac:dyDescent="0.15">
      <c r="B440" s="11"/>
      <c r="C440" s="11"/>
      <c r="D440" s="12"/>
      <c r="E440" s="12"/>
      <c r="F440" s="11"/>
      <c r="G440" s="11"/>
      <c r="H440" s="11"/>
    </row>
    <row r="441" spans="2:8" ht="15.75" customHeight="1" x14ac:dyDescent="0.15">
      <c r="B441" s="11"/>
      <c r="C441" s="11"/>
      <c r="D441" s="12"/>
      <c r="E441" s="12"/>
      <c r="F441" s="11"/>
      <c r="G441" s="11"/>
      <c r="H441" s="11"/>
    </row>
    <row r="442" spans="2:8" ht="15.75" customHeight="1" x14ac:dyDescent="0.15">
      <c r="B442" s="11"/>
      <c r="C442" s="11"/>
      <c r="D442" s="12"/>
      <c r="E442" s="12"/>
      <c r="F442" s="11"/>
      <c r="G442" s="11"/>
      <c r="H442" s="11"/>
    </row>
    <row r="443" spans="2:8" ht="15.75" customHeight="1" x14ac:dyDescent="0.15">
      <c r="B443" s="11"/>
      <c r="C443" s="11"/>
      <c r="D443" s="12"/>
      <c r="E443" s="12"/>
      <c r="F443" s="11"/>
      <c r="G443" s="11"/>
      <c r="H443" s="11"/>
    </row>
    <row r="444" spans="2:8" ht="15.75" customHeight="1" x14ac:dyDescent="0.15">
      <c r="B444" s="11"/>
      <c r="C444" s="11"/>
      <c r="D444" s="12"/>
      <c r="E444" s="12"/>
      <c r="F444" s="11"/>
      <c r="G444" s="11"/>
      <c r="H444" s="11"/>
    </row>
    <row r="445" spans="2:8" ht="15.75" customHeight="1" x14ac:dyDescent="0.15">
      <c r="B445" s="11"/>
      <c r="C445" s="11"/>
      <c r="D445" s="12"/>
      <c r="E445" s="12"/>
      <c r="F445" s="11"/>
      <c r="G445" s="11"/>
      <c r="H445" s="11"/>
    </row>
    <row r="446" spans="2:8" ht="15.75" customHeight="1" x14ac:dyDescent="0.15">
      <c r="B446" s="11"/>
      <c r="C446" s="11"/>
      <c r="D446" s="12"/>
      <c r="E446" s="12"/>
      <c r="F446" s="11"/>
      <c r="G446" s="11"/>
      <c r="H446" s="11"/>
    </row>
    <row r="447" spans="2:8" ht="15.75" customHeight="1" x14ac:dyDescent="0.15">
      <c r="B447" s="11"/>
      <c r="C447" s="11"/>
      <c r="D447" s="12"/>
      <c r="E447" s="12"/>
      <c r="F447" s="11"/>
      <c r="G447" s="11"/>
      <c r="H447" s="11"/>
    </row>
    <row r="448" spans="2:8" ht="15.75" customHeight="1" x14ac:dyDescent="0.15">
      <c r="B448" s="11"/>
      <c r="C448" s="11"/>
      <c r="D448" s="12"/>
      <c r="E448" s="12"/>
      <c r="F448" s="11"/>
      <c r="G448" s="11"/>
      <c r="H448" s="11"/>
    </row>
    <row r="449" spans="2:8" ht="15.75" customHeight="1" x14ac:dyDescent="0.15">
      <c r="B449" s="11"/>
      <c r="C449" s="11"/>
      <c r="D449" s="12"/>
      <c r="E449" s="12"/>
      <c r="F449" s="11"/>
      <c r="G449" s="11"/>
      <c r="H449" s="11"/>
    </row>
    <row r="450" spans="2:8" ht="15.75" customHeight="1" x14ac:dyDescent="0.15">
      <c r="B450" s="11"/>
      <c r="C450" s="11"/>
      <c r="D450" s="12"/>
      <c r="E450" s="12"/>
      <c r="F450" s="11"/>
      <c r="G450" s="11"/>
      <c r="H450" s="11"/>
    </row>
    <row r="451" spans="2:8" ht="15.75" customHeight="1" x14ac:dyDescent="0.15">
      <c r="B451" s="11"/>
      <c r="C451" s="11"/>
      <c r="D451" s="12"/>
      <c r="E451" s="12"/>
      <c r="F451" s="11"/>
      <c r="G451" s="11"/>
      <c r="H451" s="11"/>
    </row>
    <row r="452" spans="2:8" ht="15.75" customHeight="1" x14ac:dyDescent="0.15">
      <c r="B452" s="11"/>
      <c r="C452" s="11"/>
      <c r="D452" s="12"/>
      <c r="E452" s="12"/>
      <c r="F452" s="11"/>
      <c r="G452" s="11"/>
      <c r="H452" s="11"/>
    </row>
    <row r="453" spans="2:8" ht="15.75" customHeight="1" x14ac:dyDescent="0.15">
      <c r="B453" s="11"/>
      <c r="C453" s="11"/>
      <c r="D453" s="12"/>
      <c r="E453" s="12"/>
      <c r="F453" s="11"/>
      <c r="G453" s="11"/>
      <c r="H453" s="11"/>
    </row>
    <row r="454" spans="2:8" ht="15.75" customHeight="1" x14ac:dyDescent="0.15">
      <c r="B454" s="11"/>
      <c r="C454" s="11"/>
      <c r="D454" s="12"/>
      <c r="E454" s="12"/>
      <c r="F454" s="11"/>
      <c r="G454" s="11"/>
      <c r="H454" s="11"/>
    </row>
    <row r="455" spans="2:8" ht="15.75" customHeight="1" x14ac:dyDescent="0.15">
      <c r="B455" s="11"/>
      <c r="C455" s="11"/>
      <c r="D455" s="12"/>
      <c r="E455" s="12"/>
      <c r="F455" s="11"/>
      <c r="G455" s="11"/>
      <c r="H455" s="11"/>
    </row>
    <row r="456" spans="2:8" ht="15.75" customHeight="1" x14ac:dyDescent="0.15">
      <c r="B456" s="11"/>
      <c r="C456" s="11"/>
      <c r="D456" s="12"/>
      <c r="E456" s="12"/>
      <c r="F456" s="11"/>
      <c r="G456" s="11"/>
      <c r="H456" s="11"/>
    </row>
    <row r="457" spans="2:8" ht="15.75" customHeight="1" x14ac:dyDescent="0.15">
      <c r="B457" s="11"/>
      <c r="C457" s="11"/>
      <c r="D457" s="12"/>
      <c r="E457" s="12"/>
      <c r="F457" s="11"/>
      <c r="G457" s="11"/>
      <c r="H457" s="11"/>
    </row>
    <row r="458" spans="2:8" ht="15.75" customHeight="1" x14ac:dyDescent="0.15">
      <c r="B458" s="11"/>
      <c r="C458" s="11"/>
      <c r="D458" s="12"/>
      <c r="E458" s="12"/>
      <c r="F458" s="11"/>
      <c r="G458" s="11"/>
      <c r="H458" s="11"/>
    </row>
    <row r="459" spans="2:8" ht="15.75" customHeight="1" x14ac:dyDescent="0.15">
      <c r="B459" s="11"/>
      <c r="C459" s="11"/>
      <c r="D459" s="12"/>
      <c r="E459" s="12"/>
      <c r="F459" s="11"/>
      <c r="G459" s="11"/>
      <c r="H459" s="11"/>
    </row>
    <row r="460" spans="2:8" ht="15.75" customHeight="1" x14ac:dyDescent="0.15">
      <c r="B460" s="11"/>
      <c r="C460" s="11"/>
      <c r="D460" s="12"/>
      <c r="E460" s="12"/>
      <c r="F460" s="11"/>
      <c r="G460" s="11"/>
      <c r="H460" s="11"/>
    </row>
    <row r="461" spans="2:8" ht="15.75" customHeight="1" x14ac:dyDescent="0.15">
      <c r="B461" s="11"/>
      <c r="C461" s="11"/>
      <c r="D461" s="12"/>
      <c r="E461" s="12"/>
      <c r="F461" s="11"/>
      <c r="G461" s="11"/>
      <c r="H461" s="11"/>
    </row>
    <row r="462" spans="2:8" ht="15.75" customHeight="1" x14ac:dyDescent="0.15">
      <c r="B462" s="11"/>
      <c r="C462" s="11"/>
      <c r="D462" s="12"/>
      <c r="E462" s="12"/>
      <c r="F462" s="11"/>
      <c r="G462" s="11"/>
      <c r="H462" s="11"/>
    </row>
    <row r="463" spans="2:8" ht="15.75" customHeight="1" x14ac:dyDescent="0.15">
      <c r="B463" s="11"/>
      <c r="C463" s="11"/>
      <c r="D463" s="12"/>
      <c r="E463" s="12"/>
      <c r="F463" s="11"/>
      <c r="G463" s="11"/>
      <c r="H463" s="11"/>
    </row>
    <row r="464" spans="2:8" ht="15.75" customHeight="1" x14ac:dyDescent="0.15">
      <c r="B464" s="11"/>
      <c r="C464" s="11"/>
      <c r="D464" s="12"/>
      <c r="E464" s="12"/>
      <c r="F464" s="11"/>
      <c r="G464" s="11"/>
      <c r="H464" s="11"/>
    </row>
    <row r="465" spans="2:8" ht="15.75" customHeight="1" x14ac:dyDescent="0.15">
      <c r="B465" s="11"/>
      <c r="C465" s="11"/>
      <c r="D465" s="12"/>
      <c r="E465" s="12"/>
      <c r="F465" s="11"/>
      <c r="G465" s="11"/>
      <c r="H465" s="11"/>
    </row>
    <row r="466" spans="2:8" ht="15.75" customHeight="1" x14ac:dyDescent="0.15">
      <c r="B466" s="11"/>
      <c r="C466" s="11"/>
      <c r="D466" s="12"/>
      <c r="E466" s="12"/>
      <c r="F466" s="11"/>
      <c r="G466" s="11"/>
      <c r="H466" s="11"/>
    </row>
    <row r="467" spans="2:8" ht="15.75" customHeight="1" x14ac:dyDescent="0.15">
      <c r="B467" s="11"/>
      <c r="C467" s="11"/>
      <c r="D467" s="12"/>
      <c r="E467" s="12"/>
      <c r="F467" s="11"/>
      <c r="G467" s="11"/>
      <c r="H467" s="11"/>
    </row>
    <row r="468" spans="2:8" ht="15.75" customHeight="1" x14ac:dyDescent="0.15">
      <c r="B468" s="11"/>
      <c r="C468" s="11"/>
      <c r="D468" s="12"/>
      <c r="E468" s="12"/>
      <c r="F468" s="11"/>
      <c r="G468" s="11"/>
      <c r="H468" s="11"/>
    </row>
    <row r="469" spans="2:8" ht="15.75" customHeight="1" x14ac:dyDescent="0.15">
      <c r="B469" s="11"/>
      <c r="C469" s="11"/>
      <c r="D469" s="12"/>
      <c r="E469" s="12"/>
      <c r="F469" s="11"/>
      <c r="G469" s="11"/>
      <c r="H469" s="11"/>
    </row>
    <row r="470" spans="2:8" ht="15.75" customHeight="1" x14ac:dyDescent="0.15">
      <c r="B470" s="11"/>
      <c r="C470" s="11"/>
      <c r="D470" s="12"/>
      <c r="E470" s="12"/>
      <c r="F470" s="11"/>
      <c r="G470" s="11"/>
      <c r="H470" s="11"/>
    </row>
    <row r="471" spans="2:8" ht="15.75" customHeight="1" x14ac:dyDescent="0.15">
      <c r="B471" s="11"/>
      <c r="C471" s="11"/>
      <c r="D471" s="12"/>
      <c r="E471" s="12"/>
      <c r="F471" s="11"/>
      <c r="G471" s="11"/>
      <c r="H471" s="11"/>
    </row>
    <row r="472" spans="2:8" ht="15.75" customHeight="1" x14ac:dyDescent="0.15">
      <c r="B472" s="11"/>
      <c r="C472" s="11"/>
      <c r="D472" s="12"/>
      <c r="E472" s="12"/>
      <c r="F472" s="11"/>
      <c r="G472" s="11"/>
      <c r="H472" s="11"/>
    </row>
    <row r="473" spans="2:8" ht="15.75" customHeight="1" x14ac:dyDescent="0.15">
      <c r="B473" s="11"/>
      <c r="C473" s="11"/>
      <c r="D473" s="12"/>
      <c r="E473" s="12"/>
      <c r="F473" s="11"/>
      <c r="G473" s="11"/>
      <c r="H473" s="11"/>
    </row>
    <row r="474" spans="2:8" ht="15.75" customHeight="1" x14ac:dyDescent="0.15">
      <c r="B474" s="11"/>
      <c r="C474" s="11"/>
      <c r="D474" s="12"/>
      <c r="E474" s="12"/>
      <c r="F474" s="11"/>
      <c r="G474" s="11"/>
      <c r="H474" s="11"/>
    </row>
    <row r="475" spans="2:8" ht="15.75" customHeight="1" x14ac:dyDescent="0.15">
      <c r="B475" s="11"/>
      <c r="C475" s="11"/>
      <c r="D475" s="12"/>
      <c r="E475" s="12"/>
      <c r="F475" s="11"/>
      <c r="G475" s="11"/>
      <c r="H475" s="11"/>
    </row>
    <row r="476" spans="2:8" ht="15.75" customHeight="1" x14ac:dyDescent="0.15">
      <c r="B476" s="11"/>
      <c r="C476" s="11"/>
      <c r="D476" s="12"/>
      <c r="E476" s="12"/>
      <c r="F476" s="11"/>
      <c r="G476" s="11"/>
      <c r="H476" s="11"/>
    </row>
    <row r="477" spans="2:8" ht="15.75" customHeight="1" x14ac:dyDescent="0.15">
      <c r="B477" s="11"/>
      <c r="C477" s="11"/>
      <c r="D477" s="12"/>
      <c r="E477" s="12"/>
      <c r="F477" s="11"/>
      <c r="G477" s="11"/>
      <c r="H477" s="11"/>
    </row>
    <row r="478" spans="2:8" ht="15.75" customHeight="1" x14ac:dyDescent="0.15">
      <c r="B478" s="11"/>
      <c r="C478" s="11"/>
      <c r="D478" s="12"/>
      <c r="E478" s="12"/>
      <c r="F478" s="11"/>
      <c r="G478" s="11"/>
      <c r="H478" s="11"/>
    </row>
    <row r="479" spans="2:8" ht="15.75" customHeight="1" x14ac:dyDescent="0.15">
      <c r="B479" s="11"/>
      <c r="C479" s="11"/>
      <c r="D479" s="12"/>
      <c r="E479" s="12"/>
      <c r="F479" s="11"/>
      <c r="G479" s="11"/>
      <c r="H479" s="11"/>
    </row>
    <row r="480" spans="2:8" ht="15.75" customHeight="1" x14ac:dyDescent="0.15">
      <c r="B480" s="11"/>
      <c r="C480" s="11"/>
      <c r="D480" s="12"/>
      <c r="E480" s="12"/>
      <c r="F480" s="11"/>
      <c r="G480" s="11"/>
      <c r="H480" s="11"/>
    </row>
    <row r="481" spans="2:8" ht="15.75" customHeight="1" x14ac:dyDescent="0.15">
      <c r="B481" s="11"/>
      <c r="C481" s="11"/>
      <c r="D481" s="12"/>
      <c r="E481" s="12"/>
      <c r="F481" s="11"/>
      <c r="G481" s="11"/>
      <c r="H481" s="11"/>
    </row>
    <row r="482" spans="2:8" ht="15.75" customHeight="1" x14ac:dyDescent="0.15">
      <c r="B482" s="11"/>
      <c r="C482" s="11"/>
      <c r="D482" s="12"/>
      <c r="E482" s="12"/>
      <c r="F482" s="11"/>
      <c r="G482" s="11"/>
      <c r="H482" s="11"/>
    </row>
    <row r="483" spans="2:8" ht="15.75" customHeight="1" x14ac:dyDescent="0.15">
      <c r="B483" s="11"/>
      <c r="C483" s="11"/>
      <c r="D483" s="12"/>
      <c r="E483" s="12"/>
      <c r="F483" s="11"/>
      <c r="G483" s="11"/>
      <c r="H483" s="11"/>
    </row>
    <row r="484" spans="2:8" ht="15.75" customHeight="1" x14ac:dyDescent="0.15">
      <c r="B484" s="11"/>
      <c r="C484" s="11"/>
      <c r="D484" s="12"/>
      <c r="E484" s="12"/>
      <c r="F484" s="11"/>
      <c r="G484" s="11"/>
      <c r="H484" s="11"/>
    </row>
    <row r="485" spans="2:8" ht="15.75" customHeight="1" x14ac:dyDescent="0.15">
      <c r="B485" s="11"/>
      <c r="C485" s="11"/>
      <c r="D485" s="12"/>
      <c r="E485" s="12"/>
      <c r="F485" s="11"/>
      <c r="G485" s="11"/>
      <c r="H485" s="11"/>
    </row>
    <row r="486" spans="2:8" ht="15.75" customHeight="1" x14ac:dyDescent="0.15">
      <c r="B486" s="11"/>
      <c r="C486" s="11"/>
      <c r="D486" s="12"/>
      <c r="E486" s="12"/>
      <c r="F486" s="11"/>
      <c r="G486" s="11"/>
      <c r="H486" s="11"/>
    </row>
    <row r="487" spans="2:8" ht="15.75" customHeight="1" x14ac:dyDescent="0.15">
      <c r="B487" s="11"/>
      <c r="C487" s="11"/>
      <c r="D487" s="12"/>
      <c r="E487" s="12"/>
      <c r="F487" s="11"/>
      <c r="G487" s="11"/>
      <c r="H487" s="11"/>
    </row>
    <row r="488" spans="2:8" ht="15.75" customHeight="1" x14ac:dyDescent="0.15">
      <c r="B488" s="11"/>
      <c r="C488" s="11"/>
      <c r="D488" s="12"/>
      <c r="E488" s="12"/>
      <c r="F488" s="11"/>
      <c r="G488" s="11"/>
      <c r="H488" s="11"/>
    </row>
    <row r="489" spans="2:8" ht="15.75" customHeight="1" x14ac:dyDescent="0.15">
      <c r="B489" s="11"/>
      <c r="C489" s="11"/>
      <c r="D489" s="12"/>
      <c r="E489" s="12"/>
      <c r="F489" s="11"/>
      <c r="G489" s="11"/>
      <c r="H489" s="11"/>
    </row>
    <row r="490" spans="2:8" ht="15.75" customHeight="1" x14ac:dyDescent="0.15">
      <c r="B490" s="11"/>
      <c r="C490" s="11"/>
      <c r="D490" s="12"/>
      <c r="E490" s="12"/>
      <c r="F490" s="11"/>
      <c r="G490" s="11"/>
      <c r="H490" s="11"/>
    </row>
    <row r="491" spans="2:8" ht="15.75" customHeight="1" x14ac:dyDescent="0.15">
      <c r="B491" s="11"/>
      <c r="C491" s="11"/>
      <c r="D491" s="12"/>
      <c r="E491" s="12"/>
      <c r="F491" s="11"/>
      <c r="G491" s="11"/>
      <c r="H491" s="11"/>
    </row>
    <row r="492" spans="2:8" ht="15.75" customHeight="1" x14ac:dyDescent="0.15">
      <c r="B492" s="11"/>
      <c r="C492" s="11"/>
      <c r="D492" s="12"/>
      <c r="E492" s="12"/>
      <c r="F492" s="11"/>
      <c r="G492" s="11"/>
      <c r="H492" s="11"/>
    </row>
    <row r="493" spans="2:8" ht="15.75" customHeight="1" x14ac:dyDescent="0.15">
      <c r="B493" s="11"/>
      <c r="C493" s="11"/>
      <c r="D493" s="12"/>
      <c r="E493" s="12"/>
      <c r="F493" s="11"/>
      <c r="G493" s="11"/>
      <c r="H493" s="11"/>
    </row>
    <row r="494" spans="2:8" ht="15.75" customHeight="1" x14ac:dyDescent="0.15">
      <c r="B494" s="11"/>
      <c r="C494" s="11"/>
      <c r="D494" s="12"/>
      <c r="E494" s="12"/>
      <c r="F494" s="11"/>
      <c r="G494" s="11"/>
      <c r="H494" s="11"/>
    </row>
    <row r="495" spans="2:8" ht="15.75" customHeight="1" x14ac:dyDescent="0.15">
      <c r="B495" s="11"/>
      <c r="C495" s="11"/>
      <c r="D495" s="12"/>
      <c r="E495" s="12"/>
      <c r="F495" s="11"/>
      <c r="G495" s="11"/>
      <c r="H495" s="11"/>
    </row>
    <row r="496" spans="2:8" ht="15.75" customHeight="1" x14ac:dyDescent="0.15">
      <c r="B496" s="11"/>
      <c r="C496" s="11"/>
      <c r="D496" s="12"/>
      <c r="E496" s="12"/>
      <c r="F496" s="11"/>
      <c r="G496" s="11"/>
      <c r="H496" s="11"/>
    </row>
    <row r="497" spans="2:8" ht="15.75" customHeight="1" x14ac:dyDescent="0.15">
      <c r="B497" s="11"/>
      <c r="C497" s="11"/>
      <c r="D497" s="12"/>
      <c r="E497" s="12"/>
      <c r="F497" s="11"/>
      <c r="G497" s="11"/>
      <c r="H497" s="11"/>
    </row>
    <row r="498" spans="2:8" ht="15.75" customHeight="1" x14ac:dyDescent="0.15">
      <c r="B498" s="11"/>
      <c r="C498" s="11"/>
      <c r="D498" s="12"/>
      <c r="E498" s="12"/>
      <c r="F498" s="11"/>
      <c r="G498" s="11"/>
      <c r="H498" s="11"/>
    </row>
    <row r="499" spans="2:8" ht="15.75" customHeight="1" x14ac:dyDescent="0.15">
      <c r="B499" s="11"/>
      <c r="C499" s="11"/>
      <c r="D499" s="12"/>
      <c r="E499" s="12"/>
      <c r="F499" s="11"/>
      <c r="G499" s="11"/>
      <c r="H499" s="11"/>
    </row>
    <row r="500" spans="2:8" ht="15.75" customHeight="1" x14ac:dyDescent="0.15">
      <c r="B500" s="11"/>
      <c r="C500" s="11"/>
      <c r="D500" s="12"/>
      <c r="E500" s="12"/>
      <c r="F500" s="11"/>
      <c r="G500" s="11"/>
      <c r="H500" s="11"/>
    </row>
    <row r="501" spans="2:8" ht="15.75" customHeight="1" x14ac:dyDescent="0.15">
      <c r="B501" s="11"/>
      <c r="C501" s="11"/>
      <c r="D501" s="12"/>
      <c r="E501" s="12"/>
      <c r="F501" s="11"/>
      <c r="G501" s="11"/>
      <c r="H501" s="11"/>
    </row>
    <row r="502" spans="2:8" ht="15.75" customHeight="1" x14ac:dyDescent="0.15">
      <c r="B502" s="11"/>
      <c r="C502" s="11"/>
      <c r="D502" s="12"/>
      <c r="E502" s="12"/>
      <c r="F502" s="11"/>
      <c r="G502" s="11"/>
      <c r="H502" s="11"/>
    </row>
    <row r="503" spans="2:8" ht="15.75" customHeight="1" x14ac:dyDescent="0.15">
      <c r="B503" s="11"/>
      <c r="C503" s="11"/>
      <c r="D503" s="12"/>
      <c r="E503" s="12"/>
      <c r="F503" s="11"/>
      <c r="G503" s="11"/>
      <c r="H503" s="11"/>
    </row>
    <row r="504" spans="2:8" ht="15.75" customHeight="1" x14ac:dyDescent="0.15">
      <c r="B504" s="11"/>
      <c r="C504" s="11"/>
      <c r="D504" s="12"/>
      <c r="E504" s="12"/>
      <c r="F504" s="11"/>
      <c r="G504" s="11"/>
      <c r="H504" s="11"/>
    </row>
    <row r="505" spans="2:8" ht="15.75" customHeight="1" x14ac:dyDescent="0.15">
      <c r="B505" s="11"/>
      <c r="C505" s="11"/>
      <c r="D505" s="12"/>
      <c r="E505" s="12"/>
      <c r="F505" s="11"/>
      <c r="G505" s="11"/>
      <c r="H505" s="11"/>
    </row>
    <row r="506" spans="2:8" ht="15.75" customHeight="1" x14ac:dyDescent="0.15">
      <c r="B506" s="11"/>
      <c r="C506" s="11"/>
      <c r="D506" s="12"/>
      <c r="E506" s="12"/>
      <c r="F506" s="11"/>
      <c r="G506" s="11"/>
      <c r="H506" s="11"/>
    </row>
    <row r="507" spans="2:8" ht="15.75" customHeight="1" x14ac:dyDescent="0.15">
      <c r="B507" s="11"/>
      <c r="C507" s="11"/>
      <c r="D507" s="12"/>
      <c r="E507" s="12"/>
      <c r="F507" s="11"/>
      <c r="G507" s="11"/>
      <c r="H507" s="11"/>
    </row>
    <row r="508" spans="2:8" ht="15.75" customHeight="1" x14ac:dyDescent="0.15">
      <c r="B508" s="11"/>
      <c r="C508" s="11"/>
      <c r="D508" s="12"/>
      <c r="E508" s="12"/>
      <c r="F508" s="11"/>
      <c r="G508" s="11"/>
      <c r="H508" s="11"/>
    </row>
    <row r="509" spans="2:8" ht="15.75" customHeight="1" x14ac:dyDescent="0.15">
      <c r="B509" s="11"/>
      <c r="C509" s="11"/>
      <c r="D509" s="12"/>
      <c r="E509" s="12"/>
      <c r="F509" s="11"/>
      <c r="G509" s="11"/>
      <c r="H509" s="11"/>
    </row>
    <row r="510" spans="2:8" ht="15.75" customHeight="1" x14ac:dyDescent="0.15">
      <c r="B510" s="11"/>
      <c r="C510" s="11"/>
      <c r="D510" s="12"/>
      <c r="E510" s="12"/>
      <c r="F510" s="11"/>
      <c r="G510" s="11"/>
      <c r="H510" s="11"/>
    </row>
    <row r="511" spans="2:8" ht="15.75" customHeight="1" x14ac:dyDescent="0.15">
      <c r="B511" s="11"/>
      <c r="C511" s="11"/>
      <c r="D511" s="12"/>
      <c r="E511" s="12"/>
      <c r="F511" s="11"/>
      <c r="G511" s="11"/>
      <c r="H511" s="11"/>
    </row>
    <row r="512" spans="2:8" ht="15.75" customHeight="1" x14ac:dyDescent="0.15">
      <c r="B512" s="11"/>
      <c r="C512" s="11"/>
      <c r="D512" s="12"/>
      <c r="E512" s="12"/>
      <c r="F512" s="11"/>
      <c r="G512" s="11"/>
      <c r="H512" s="11"/>
    </row>
    <row r="513" spans="2:8" ht="15.75" customHeight="1" x14ac:dyDescent="0.15">
      <c r="B513" s="11"/>
      <c r="C513" s="11"/>
      <c r="D513" s="12"/>
      <c r="E513" s="12"/>
      <c r="F513" s="11"/>
      <c r="G513" s="11"/>
      <c r="H513" s="11"/>
    </row>
    <row r="514" spans="2:8" ht="15.75" customHeight="1" x14ac:dyDescent="0.15">
      <c r="B514" s="11"/>
      <c r="C514" s="11"/>
      <c r="D514" s="12"/>
      <c r="E514" s="12"/>
      <c r="F514" s="11"/>
      <c r="G514" s="11"/>
      <c r="H514" s="11"/>
    </row>
    <row r="515" spans="2:8" ht="15.75" customHeight="1" x14ac:dyDescent="0.15">
      <c r="B515" s="11"/>
      <c r="C515" s="11"/>
      <c r="D515" s="12"/>
      <c r="E515" s="12"/>
      <c r="F515" s="11"/>
      <c r="G515" s="11"/>
      <c r="H515" s="11"/>
    </row>
    <row r="516" spans="2:8" ht="15.75" customHeight="1" x14ac:dyDescent="0.15">
      <c r="B516" s="11"/>
      <c r="C516" s="11"/>
      <c r="D516" s="12"/>
      <c r="E516" s="12"/>
      <c r="F516" s="11"/>
      <c r="G516" s="11"/>
      <c r="H516" s="11"/>
    </row>
    <row r="517" spans="2:8" ht="15.75" customHeight="1" x14ac:dyDescent="0.15">
      <c r="B517" s="11"/>
      <c r="C517" s="11"/>
      <c r="D517" s="12"/>
      <c r="E517" s="12"/>
      <c r="F517" s="11"/>
      <c r="G517" s="11"/>
      <c r="H517" s="11"/>
    </row>
    <row r="518" spans="2:8" ht="15.75" customHeight="1" x14ac:dyDescent="0.15">
      <c r="B518" s="11"/>
      <c r="C518" s="11"/>
      <c r="D518" s="12"/>
      <c r="E518" s="12"/>
      <c r="F518" s="11"/>
      <c r="G518" s="11"/>
      <c r="H518" s="11"/>
    </row>
    <row r="519" spans="2:8" ht="15.75" customHeight="1" x14ac:dyDescent="0.15">
      <c r="B519" s="11"/>
      <c r="C519" s="11"/>
      <c r="D519" s="12"/>
      <c r="E519" s="12"/>
      <c r="F519" s="11"/>
      <c r="G519" s="11"/>
      <c r="H519" s="11"/>
    </row>
    <row r="520" spans="2:8" ht="15.75" customHeight="1" x14ac:dyDescent="0.15">
      <c r="B520" s="11"/>
      <c r="C520" s="11"/>
      <c r="D520" s="12"/>
      <c r="E520" s="12"/>
      <c r="F520" s="11"/>
      <c r="G520" s="11"/>
      <c r="H520" s="11"/>
    </row>
    <row r="521" spans="2:8" ht="15.75" customHeight="1" x14ac:dyDescent="0.15">
      <c r="B521" s="11"/>
      <c r="C521" s="11"/>
      <c r="D521" s="12"/>
      <c r="E521" s="12"/>
      <c r="F521" s="11"/>
      <c r="G521" s="11"/>
      <c r="H521" s="11"/>
    </row>
    <row r="522" spans="2:8" ht="15.75" customHeight="1" x14ac:dyDescent="0.15">
      <c r="B522" s="11"/>
      <c r="C522" s="11"/>
      <c r="D522" s="12"/>
      <c r="E522" s="12"/>
      <c r="F522" s="11"/>
      <c r="G522" s="11"/>
      <c r="H522" s="11"/>
    </row>
    <row r="523" spans="2:8" ht="15.75" customHeight="1" x14ac:dyDescent="0.15">
      <c r="B523" s="11"/>
      <c r="C523" s="11"/>
      <c r="D523" s="12"/>
      <c r="E523" s="12"/>
      <c r="F523" s="11"/>
      <c r="G523" s="11"/>
      <c r="H523" s="11"/>
    </row>
    <row r="524" spans="2:8" ht="15.75" customHeight="1" x14ac:dyDescent="0.15">
      <c r="B524" s="11"/>
      <c r="C524" s="11"/>
      <c r="D524" s="12"/>
      <c r="E524" s="12"/>
      <c r="F524" s="11"/>
      <c r="G524" s="11"/>
      <c r="H524" s="11"/>
    </row>
    <row r="525" spans="2:8" ht="15.75" customHeight="1" x14ac:dyDescent="0.15">
      <c r="B525" s="11"/>
      <c r="C525" s="11"/>
      <c r="D525" s="12"/>
      <c r="E525" s="12"/>
      <c r="F525" s="11"/>
      <c r="G525" s="11"/>
      <c r="H525" s="11"/>
    </row>
    <row r="526" spans="2:8" ht="15.75" customHeight="1" x14ac:dyDescent="0.15">
      <c r="B526" s="11"/>
      <c r="C526" s="11"/>
      <c r="D526" s="12"/>
      <c r="E526" s="12"/>
      <c r="F526" s="11"/>
      <c r="G526" s="11"/>
      <c r="H526" s="11"/>
    </row>
    <row r="527" spans="2:8" ht="15.75" customHeight="1" x14ac:dyDescent="0.15">
      <c r="B527" s="11"/>
      <c r="C527" s="11"/>
      <c r="D527" s="12"/>
      <c r="E527" s="12"/>
      <c r="F527" s="11"/>
      <c r="G527" s="11"/>
      <c r="H527" s="11"/>
    </row>
    <row r="528" spans="2:8" ht="15.75" customHeight="1" x14ac:dyDescent="0.15">
      <c r="B528" s="11"/>
      <c r="C528" s="11"/>
      <c r="D528" s="12"/>
      <c r="E528" s="12"/>
      <c r="F528" s="11"/>
      <c r="G528" s="11"/>
      <c r="H528" s="11"/>
    </row>
    <row r="529" spans="2:8" ht="15.75" customHeight="1" x14ac:dyDescent="0.15">
      <c r="B529" s="11"/>
      <c r="C529" s="11"/>
      <c r="D529" s="12"/>
      <c r="E529" s="12"/>
      <c r="F529" s="11"/>
      <c r="G529" s="11"/>
      <c r="H529" s="11"/>
    </row>
    <row r="530" spans="2:8" ht="15.75" customHeight="1" x14ac:dyDescent="0.15">
      <c r="B530" s="11"/>
      <c r="C530" s="11"/>
      <c r="D530" s="12"/>
      <c r="E530" s="12"/>
      <c r="F530" s="11"/>
      <c r="G530" s="11"/>
      <c r="H530" s="11"/>
    </row>
    <row r="531" spans="2:8" ht="15.75" customHeight="1" x14ac:dyDescent="0.15">
      <c r="B531" s="11"/>
      <c r="C531" s="11"/>
      <c r="D531" s="12"/>
      <c r="E531" s="12"/>
      <c r="F531" s="11"/>
      <c r="G531" s="11"/>
      <c r="H531" s="11"/>
    </row>
    <row r="532" spans="2:8" ht="15.75" customHeight="1" x14ac:dyDescent="0.15">
      <c r="B532" s="11"/>
      <c r="C532" s="11"/>
      <c r="D532" s="12"/>
      <c r="E532" s="12"/>
      <c r="F532" s="11"/>
      <c r="G532" s="11"/>
      <c r="H532" s="11"/>
    </row>
    <row r="533" spans="2:8" ht="15.75" customHeight="1" x14ac:dyDescent="0.15">
      <c r="B533" s="11"/>
      <c r="C533" s="11"/>
      <c r="D533" s="12"/>
      <c r="E533" s="12"/>
      <c r="F533" s="11"/>
      <c r="G533" s="11"/>
      <c r="H533" s="11"/>
    </row>
    <row r="534" spans="2:8" ht="15.75" customHeight="1" x14ac:dyDescent="0.15">
      <c r="B534" s="11"/>
      <c r="C534" s="11"/>
      <c r="D534" s="12"/>
      <c r="E534" s="12"/>
      <c r="F534" s="11"/>
      <c r="G534" s="11"/>
      <c r="H534" s="11"/>
    </row>
    <row r="535" spans="2:8" ht="15.75" customHeight="1" x14ac:dyDescent="0.15">
      <c r="B535" s="11"/>
      <c r="C535" s="11"/>
      <c r="D535" s="12"/>
      <c r="E535" s="12"/>
      <c r="F535" s="11"/>
      <c r="G535" s="11"/>
      <c r="H535" s="11"/>
    </row>
    <row r="536" spans="2:8" ht="15.75" customHeight="1" x14ac:dyDescent="0.15">
      <c r="B536" s="11"/>
      <c r="C536" s="11"/>
      <c r="D536" s="12"/>
      <c r="E536" s="12"/>
      <c r="F536" s="11"/>
      <c r="G536" s="11"/>
      <c r="H536" s="11"/>
    </row>
    <row r="537" spans="2:8" ht="15.75" customHeight="1" x14ac:dyDescent="0.15">
      <c r="B537" s="11"/>
      <c r="C537" s="11"/>
      <c r="D537" s="12"/>
      <c r="E537" s="12"/>
      <c r="F537" s="11"/>
      <c r="G537" s="11"/>
      <c r="H537" s="11"/>
    </row>
    <row r="538" spans="2:8" ht="15.75" customHeight="1" x14ac:dyDescent="0.15">
      <c r="B538" s="11"/>
      <c r="C538" s="11"/>
      <c r="D538" s="12"/>
      <c r="E538" s="12"/>
      <c r="F538" s="11"/>
      <c r="G538" s="11"/>
      <c r="H538" s="11"/>
    </row>
    <row r="539" spans="2:8" ht="15.75" customHeight="1" x14ac:dyDescent="0.15">
      <c r="B539" s="11"/>
      <c r="C539" s="11"/>
      <c r="D539" s="12"/>
      <c r="E539" s="12"/>
      <c r="F539" s="11"/>
      <c r="G539" s="11"/>
      <c r="H539" s="11"/>
    </row>
    <row r="540" spans="2:8" ht="15.75" customHeight="1" x14ac:dyDescent="0.15">
      <c r="B540" s="11"/>
      <c r="C540" s="11"/>
      <c r="D540" s="12"/>
      <c r="E540" s="12"/>
      <c r="F540" s="11"/>
      <c r="G540" s="11"/>
      <c r="H540" s="11"/>
    </row>
    <row r="541" spans="2:8" ht="15.75" customHeight="1" x14ac:dyDescent="0.15">
      <c r="B541" s="11"/>
      <c r="C541" s="11"/>
      <c r="D541" s="12"/>
      <c r="E541" s="12"/>
      <c r="F541" s="11"/>
      <c r="G541" s="11"/>
      <c r="H541" s="11"/>
    </row>
    <row r="542" spans="2:8" ht="15.75" customHeight="1" x14ac:dyDescent="0.15">
      <c r="B542" s="11"/>
      <c r="C542" s="11"/>
      <c r="D542" s="12"/>
      <c r="E542" s="12"/>
      <c r="F542" s="11"/>
      <c r="G542" s="11"/>
      <c r="H542" s="11"/>
    </row>
    <row r="543" spans="2:8" ht="15.75" customHeight="1" x14ac:dyDescent="0.15">
      <c r="B543" s="11"/>
      <c r="C543" s="11"/>
      <c r="D543" s="12"/>
      <c r="E543" s="12"/>
      <c r="F543" s="11"/>
      <c r="G543" s="11"/>
      <c r="H543" s="11"/>
    </row>
    <row r="544" spans="2:8" ht="15.75" customHeight="1" x14ac:dyDescent="0.15">
      <c r="B544" s="11"/>
      <c r="C544" s="11"/>
      <c r="D544" s="12"/>
      <c r="E544" s="12"/>
      <c r="F544" s="11"/>
      <c r="G544" s="11"/>
      <c r="H544" s="11"/>
    </row>
    <row r="545" spans="2:8" ht="15.75" customHeight="1" x14ac:dyDescent="0.15">
      <c r="B545" s="11"/>
      <c r="C545" s="11"/>
      <c r="D545" s="12"/>
      <c r="E545" s="12"/>
      <c r="F545" s="11"/>
      <c r="G545" s="11"/>
      <c r="H545" s="11"/>
    </row>
    <row r="546" spans="2:8" ht="15.75" customHeight="1" x14ac:dyDescent="0.15">
      <c r="B546" s="11"/>
      <c r="C546" s="11"/>
      <c r="D546" s="12"/>
      <c r="E546" s="12"/>
      <c r="F546" s="11"/>
      <c r="G546" s="11"/>
      <c r="H546" s="11"/>
    </row>
    <row r="547" spans="2:8" ht="15.75" customHeight="1" x14ac:dyDescent="0.15">
      <c r="B547" s="11"/>
      <c r="C547" s="11"/>
      <c r="D547" s="12"/>
      <c r="E547" s="12"/>
      <c r="F547" s="11"/>
      <c r="G547" s="11"/>
      <c r="H547" s="11"/>
    </row>
    <row r="548" spans="2:8" ht="15.75" customHeight="1" x14ac:dyDescent="0.15">
      <c r="B548" s="11"/>
      <c r="C548" s="11"/>
      <c r="D548" s="12"/>
      <c r="E548" s="12"/>
      <c r="F548" s="11"/>
      <c r="G548" s="11"/>
      <c r="H548" s="11"/>
    </row>
    <row r="549" spans="2:8" ht="15.75" customHeight="1" x14ac:dyDescent="0.15">
      <c r="B549" s="11"/>
      <c r="C549" s="11"/>
      <c r="D549" s="12"/>
      <c r="E549" s="12"/>
      <c r="F549" s="11"/>
      <c r="G549" s="11"/>
      <c r="H549" s="11"/>
    </row>
    <row r="550" spans="2:8" ht="15.75" customHeight="1" x14ac:dyDescent="0.15">
      <c r="B550" s="11"/>
      <c r="C550" s="11"/>
      <c r="D550" s="12"/>
      <c r="E550" s="12"/>
      <c r="F550" s="11"/>
      <c r="G550" s="11"/>
      <c r="H550" s="11"/>
    </row>
    <row r="551" spans="2:8" ht="15.75" customHeight="1" x14ac:dyDescent="0.15">
      <c r="B551" s="11"/>
      <c r="C551" s="11"/>
      <c r="D551" s="12"/>
      <c r="E551" s="12"/>
      <c r="F551" s="11"/>
      <c r="G551" s="11"/>
      <c r="H551" s="11"/>
    </row>
    <row r="552" spans="2:8" ht="15.75" customHeight="1" x14ac:dyDescent="0.15">
      <c r="B552" s="11"/>
      <c r="C552" s="11"/>
      <c r="D552" s="12"/>
      <c r="E552" s="12"/>
      <c r="F552" s="11"/>
      <c r="G552" s="11"/>
      <c r="H552" s="11"/>
    </row>
    <row r="553" spans="2:8" ht="15.75" customHeight="1" x14ac:dyDescent="0.15">
      <c r="B553" s="11"/>
      <c r="C553" s="11"/>
      <c r="D553" s="12"/>
      <c r="E553" s="12"/>
      <c r="F553" s="11"/>
      <c r="G553" s="11"/>
      <c r="H553" s="11"/>
    </row>
    <row r="554" spans="2:8" ht="15.75" customHeight="1" x14ac:dyDescent="0.15">
      <c r="B554" s="11"/>
      <c r="C554" s="11"/>
      <c r="D554" s="12"/>
      <c r="E554" s="12"/>
      <c r="F554" s="11"/>
      <c r="G554" s="11"/>
      <c r="H554" s="11"/>
    </row>
    <row r="555" spans="2:8" ht="15.75" customHeight="1" x14ac:dyDescent="0.15">
      <c r="B555" s="11"/>
      <c r="C555" s="11"/>
      <c r="D555" s="12"/>
      <c r="E555" s="12"/>
      <c r="F555" s="11"/>
      <c r="G555" s="11"/>
      <c r="H555" s="11"/>
    </row>
    <row r="556" spans="2:8" ht="15.75" customHeight="1" x14ac:dyDescent="0.15">
      <c r="B556" s="11"/>
      <c r="C556" s="11"/>
      <c r="D556" s="12"/>
      <c r="E556" s="12"/>
      <c r="F556" s="11"/>
      <c r="G556" s="11"/>
      <c r="H556" s="11"/>
    </row>
    <row r="557" spans="2:8" ht="15.75" customHeight="1" x14ac:dyDescent="0.15">
      <c r="B557" s="11"/>
      <c r="C557" s="11"/>
      <c r="D557" s="12"/>
      <c r="E557" s="12"/>
      <c r="F557" s="11"/>
      <c r="G557" s="11"/>
      <c r="H557" s="11"/>
    </row>
    <row r="558" spans="2:8" ht="15.75" customHeight="1" x14ac:dyDescent="0.15">
      <c r="B558" s="11"/>
      <c r="C558" s="11"/>
      <c r="D558" s="12"/>
      <c r="E558" s="12"/>
      <c r="F558" s="11"/>
      <c r="G558" s="11"/>
      <c r="H558" s="11"/>
    </row>
    <row r="559" spans="2:8" ht="15.75" customHeight="1" x14ac:dyDescent="0.15">
      <c r="B559" s="11"/>
      <c r="C559" s="11"/>
      <c r="D559" s="12"/>
      <c r="E559" s="12"/>
      <c r="F559" s="11"/>
      <c r="G559" s="11"/>
      <c r="H559" s="11"/>
    </row>
    <row r="560" spans="2:8" ht="15.75" customHeight="1" x14ac:dyDescent="0.15">
      <c r="B560" s="11"/>
      <c r="C560" s="11"/>
      <c r="D560" s="12"/>
      <c r="E560" s="12"/>
      <c r="F560" s="11"/>
      <c r="G560" s="11"/>
      <c r="H560" s="11"/>
    </row>
    <row r="561" spans="2:8" ht="15.75" customHeight="1" x14ac:dyDescent="0.15">
      <c r="B561" s="11"/>
      <c r="C561" s="11"/>
      <c r="D561" s="12"/>
      <c r="E561" s="12"/>
      <c r="F561" s="11"/>
      <c r="G561" s="11"/>
      <c r="H561" s="11"/>
    </row>
    <row r="562" spans="2:8" ht="15.75" customHeight="1" x14ac:dyDescent="0.15">
      <c r="B562" s="11"/>
      <c r="C562" s="11"/>
      <c r="D562" s="12"/>
      <c r="E562" s="12"/>
      <c r="F562" s="11"/>
      <c r="G562" s="11"/>
      <c r="H562" s="11"/>
    </row>
    <row r="563" spans="2:8" ht="15.75" customHeight="1" x14ac:dyDescent="0.15">
      <c r="B563" s="11"/>
      <c r="C563" s="11"/>
      <c r="D563" s="12"/>
      <c r="E563" s="12"/>
      <c r="F563" s="11"/>
      <c r="G563" s="11"/>
      <c r="H563" s="11"/>
    </row>
    <row r="564" spans="2:8" ht="15.75" customHeight="1" x14ac:dyDescent="0.15">
      <c r="B564" s="11"/>
      <c r="C564" s="11"/>
      <c r="D564" s="12"/>
      <c r="E564" s="12"/>
      <c r="F564" s="11"/>
      <c r="G564" s="11"/>
      <c r="H564" s="11"/>
    </row>
    <row r="565" spans="2:8" ht="15.75" customHeight="1" x14ac:dyDescent="0.15">
      <c r="B565" s="11"/>
      <c r="C565" s="11"/>
      <c r="D565" s="12"/>
      <c r="E565" s="12"/>
      <c r="F565" s="11"/>
      <c r="G565" s="11"/>
      <c r="H565" s="11"/>
    </row>
    <row r="566" spans="2:8" ht="15.75" customHeight="1" x14ac:dyDescent="0.15">
      <c r="B566" s="11"/>
      <c r="C566" s="11"/>
      <c r="D566" s="12"/>
      <c r="E566" s="12"/>
      <c r="F566" s="11"/>
      <c r="G566" s="11"/>
      <c r="H566" s="11"/>
    </row>
    <row r="567" spans="2:8" ht="15.75" customHeight="1" x14ac:dyDescent="0.15">
      <c r="B567" s="11"/>
      <c r="C567" s="11"/>
      <c r="D567" s="12"/>
      <c r="E567" s="12"/>
      <c r="F567" s="11"/>
      <c r="G567" s="11"/>
      <c r="H567" s="11"/>
    </row>
    <row r="568" spans="2:8" ht="15.75" customHeight="1" x14ac:dyDescent="0.15">
      <c r="B568" s="11"/>
      <c r="C568" s="11"/>
      <c r="D568" s="12"/>
      <c r="E568" s="12"/>
      <c r="F568" s="11"/>
      <c r="G568" s="11"/>
      <c r="H568" s="11"/>
    </row>
    <row r="569" spans="2:8" ht="15.75" customHeight="1" x14ac:dyDescent="0.15">
      <c r="B569" s="11"/>
      <c r="C569" s="11"/>
      <c r="D569" s="12"/>
      <c r="E569" s="12"/>
      <c r="F569" s="11"/>
      <c r="G569" s="11"/>
      <c r="H569" s="11"/>
    </row>
    <row r="570" spans="2:8" ht="15.75" customHeight="1" x14ac:dyDescent="0.15">
      <c r="B570" s="11"/>
      <c r="C570" s="11"/>
      <c r="D570" s="12"/>
      <c r="E570" s="12"/>
      <c r="F570" s="11"/>
      <c r="G570" s="11"/>
      <c r="H570" s="11"/>
    </row>
    <row r="571" spans="2:8" ht="15.75" customHeight="1" x14ac:dyDescent="0.15">
      <c r="B571" s="11"/>
      <c r="C571" s="11"/>
      <c r="D571" s="12"/>
      <c r="E571" s="12"/>
      <c r="F571" s="11"/>
      <c r="G571" s="11"/>
      <c r="H571" s="11"/>
    </row>
    <row r="572" spans="2:8" ht="15.75" customHeight="1" x14ac:dyDescent="0.15">
      <c r="B572" s="11"/>
      <c r="C572" s="11"/>
      <c r="D572" s="12"/>
      <c r="E572" s="12"/>
      <c r="F572" s="11"/>
      <c r="G572" s="11"/>
      <c r="H572" s="11"/>
    </row>
    <row r="573" spans="2:8" ht="15.75" customHeight="1" x14ac:dyDescent="0.15">
      <c r="B573" s="11"/>
      <c r="C573" s="11"/>
      <c r="D573" s="12"/>
      <c r="E573" s="12"/>
      <c r="F573" s="11"/>
      <c r="G573" s="11"/>
      <c r="H573" s="11"/>
    </row>
    <row r="574" spans="2:8" ht="15.75" customHeight="1" x14ac:dyDescent="0.15">
      <c r="B574" s="11"/>
      <c r="C574" s="11"/>
      <c r="D574" s="12"/>
      <c r="E574" s="12"/>
      <c r="F574" s="11"/>
      <c r="G574" s="11"/>
      <c r="H574" s="11"/>
    </row>
    <row r="575" spans="2:8" ht="15.75" customHeight="1" x14ac:dyDescent="0.15">
      <c r="B575" s="11"/>
      <c r="C575" s="11"/>
      <c r="D575" s="12"/>
      <c r="E575" s="12"/>
      <c r="F575" s="11"/>
      <c r="G575" s="11"/>
      <c r="H575" s="11"/>
    </row>
    <row r="576" spans="2:8" ht="15.75" customHeight="1" x14ac:dyDescent="0.15">
      <c r="B576" s="11"/>
      <c r="C576" s="11"/>
      <c r="D576" s="12"/>
      <c r="E576" s="12"/>
      <c r="F576" s="11"/>
      <c r="G576" s="11"/>
      <c r="H576" s="11"/>
    </row>
    <row r="577" spans="2:8" ht="15.75" customHeight="1" x14ac:dyDescent="0.15">
      <c r="B577" s="11"/>
      <c r="C577" s="11"/>
      <c r="D577" s="12"/>
      <c r="E577" s="12"/>
      <c r="F577" s="11"/>
      <c r="G577" s="11"/>
      <c r="H577" s="11"/>
    </row>
    <row r="578" spans="2:8" ht="15.75" customHeight="1" x14ac:dyDescent="0.15">
      <c r="B578" s="11"/>
      <c r="C578" s="11"/>
      <c r="D578" s="12"/>
      <c r="E578" s="12"/>
      <c r="F578" s="11"/>
      <c r="G578" s="11"/>
      <c r="H578" s="11"/>
    </row>
    <row r="579" spans="2:8" ht="15.75" customHeight="1" x14ac:dyDescent="0.15">
      <c r="B579" s="11"/>
      <c r="C579" s="11"/>
      <c r="D579" s="12"/>
      <c r="E579" s="12"/>
      <c r="F579" s="11"/>
      <c r="G579" s="11"/>
      <c r="H579" s="11"/>
    </row>
    <row r="580" spans="2:8" ht="15.75" customHeight="1" x14ac:dyDescent="0.15">
      <c r="B580" s="11"/>
      <c r="C580" s="11"/>
      <c r="D580" s="12"/>
      <c r="E580" s="12"/>
      <c r="F580" s="11"/>
      <c r="G580" s="11"/>
      <c r="H580" s="11"/>
    </row>
    <row r="581" spans="2:8" ht="15.75" customHeight="1" x14ac:dyDescent="0.15">
      <c r="B581" s="11"/>
      <c r="C581" s="11"/>
      <c r="D581" s="12"/>
      <c r="E581" s="12"/>
      <c r="F581" s="11"/>
      <c r="G581" s="11"/>
      <c r="H581" s="11"/>
    </row>
    <row r="582" spans="2:8" ht="15.75" customHeight="1" x14ac:dyDescent="0.15">
      <c r="B582" s="11"/>
      <c r="C582" s="11"/>
      <c r="D582" s="12"/>
      <c r="E582" s="12"/>
      <c r="F582" s="11"/>
      <c r="G582" s="11"/>
      <c r="H582" s="11"/>
    </row>
    <row r="583" spans="2:8" ht="15.75" customHeight="1" x14ac:dyDescent="0.15">
      <c r="B583" s="11"/>
      <c r="C583" s="11"/>
      <c r="D583" s="12"/>
      <c r="E583" s="12"/>
      <c r="F583" s="11"/>
      <c r="G583" s="11"/>
      <c r="H583" s="11"/>
    </row>
    <row r="584" spans="2:8" ht="15.75" customHeight="1" x14ac:dyDescent="0.15">
      <c r="B584" s="11"/>
      <c r="C584" s="11"/>
      <c r="D584" s="12"/>
      <c r="E584" s="12"/>
      <c r="F584" s="11"/>
      <c r="G584" s="11"/>
      <c r="H584" s="11"/>
    </row>
    <row r="585" spans="2:8" ht="15.75" customHeight="1" x14ac:dyDescent="0.15">
      <c r="B585" s="11"/>
      <c r="C585" s="11"/>
      <c r="D585" s="12"/>
      <c r="E585" s="12"/>
      <c r="F585" s="11"/>
      <c r="G585" s="11"/>
      <c r="H585" s="11"/>
    </row>
    <row r="586" spans="2:8" ht="15.75" customHeight="1" x14ac:dyDescent="0.15">
      <c r="B586" s="11"/>
      <c r="C586" s="11"/>
      <c r="D586" s="12"/>
      <c r="E586" s="12"/>
      <c r="F586" s="11"/>
      <c r="G586" s="11"/>
      <c r="H586" s="11"/>
    </row>
    <row r="587" spans="2:8" ht="15.75" customHeight="1" x14ac:dyDescent="0.15">
      <c r="B587" s="11"/>
      <c r="C587" s="11"/>
      <c r="D587" s="12"/>
      <c r="E587" s="12"/>
      <c r="F587" s="11"/>
      <c r="G587" s="11"/>
      <c r="H587" s="11"/>
    </row>
    <row r="588" spans="2:8" ht="15.75" customHeight="1" x14ac:dyDescent="0.15">
      <c r="B588" s="11"/>
      <c r="C588" s="11"/>
      <c r="D588" s="12"/>
      <c r="E588" s="12"/>
      <c r="F588" s="11"/>
      <c r="G588" s="11"/>
      <c r="H588" s="11"/>
    </row>
    <row r="589" spans="2:8" ht="15.75" customHeight="1" x14ac:dyDescent="0.15">
      <c r="B589" s="11"/>
      <c r="C589" s="11"/>
      <c r="D589" s="12"/>
      <c r="E589" s="12"/>
      <c r="F589" s="11"/>
      <c r="G589" s="11"/>
      <c r="H589" s="11"/>
    </row>
    <row r="590" spans="2:8" ht="15.75" customHeight="1" x14ac:dyDescent="0.15">
      <c r="B590" s="11"/>
      <c r="C590" s="11"/>
      <c r="D590" s="12"/>
      <c r="E590" s="12"/>
      <c r="F590" s="11"/>
      <c r="G590" s="11"/>
      <c r="H590" s="11"/>
    </row>
    <row r="591" spans="2:8" ht="15.75" customHeight="1" x14ac:dyDescent="0.15">
      <c r="B591" s="11"/>
      <c r="C591" s="11"/>
      <c r="D591" s="12"/>
      <c r="E591" s="12"/>
      <c r="F591" s="11"/>
      <c r="G591" s="11"/>
      <c r="H591" s="11"/>
    </row>
    <row r="592" spans="2:8" ht="15.75" customHeight="1" x14ac:dyDescent="0.15">
      <c r="B592" s="11"/>
      <c r="C592" s="11"/>
      <c r="D592" s="12"/>
      <c r="E592" s="12"/>
      <c r="F592" s="11"/>
      <c r="G592" s="11"/>
      <c r="H592" s="11"/>
    </row>
    <row r="593" spans="2:8" ht="15.75" customHeight="1" x14ac:dyDescent="0.15">
      <c r="B593" s="11"/>
      <c r="C593" s="11"/>
      <c r="D593" s="12"/>
      <c r="E593" s="12"/>
      <c r="F593" s="11"/>
      <c r="G593" s="11"/>
      <c r="H593" s="11"/>
    </row>
    <row r="594" spans="2:8" ht="15.75" customHeight="1" x14ac:dyDescent="0.15">
      <c r="B594" s="11"/>
      <c r="C594" s="11"/>
      <c r="D594" s="12"/>
      <c r="E594" s="12"/>
      <c r="F594" s="11"/>
      <c r="G594" s="11"/>
      <c r="H594" s="11"/>
    </row>
    <row r="595" spans="2:8" ht="15.75" customHeight="1" x14ac:dyDescent="0.15">
      <c r="B595" s="11"/>
      <c r="C595" s="11"/>
      <c r="D595" s="12"/>
      <c r="E595" s="12"/>
      <c r="F595" s="11"/>
      <c r="G595" s="11"/>
      <c r="H595" s="11"/>
    </row>
    <row r="596" spans="2:8" ht="15.75" customHeight="1" x14ac:dyDescent="0.15">
      <c r="B596" s="11"/>
      <c r="C596" s="11"/>
      <c r="D596" s="12"/>
      <c r="E596" s="12"/>
      <c r="F596" s="11"/>
      <c r="G596" s="11"/>
      <c r="H596" s="11"/>
    </row>
    <row r="597" spans="2:8" ht="15.75" customHeight="1" x14ac:dyDescent="0.15">
      <c r="B597" s="11"/>
      <c r="C597" s="11"/>
      <c r="D597" s="12"/>
      <c r="E597" s="12"/>
      <c r="F597" s="11"/>
      <c r="G597" s="11"/>
      <c r="H597" s="11"/>
    </row>
    <row r="598" spans="2:8" ht="15.75" customHeight="1" x14ac:dyDescent="0.15">
      <c r="B598" s="11"/>
      <c r="C598" s="11"/>
      <c r="D598" s="12"/>
      <c r="E598" s="12"/>
      <c r="F598" s="11"/>
      <c r="G598" s="11"/>
      <c r="H598" s="11"/>
    </row>
    <row r="599" spans="2:8" ht="15.75" customHeight="1" x14ac:dyDescent="0.15">
      <c r="B599" s="11"/>
      <c r="C599" s="11"/>
      <c r="D599" s="12"/>
      <c r="E599" s="12"/>
      <c r="F599" s="11"/>
      <c r="G599" s="11"/>
      <c r="H599" s="11"/>
    </row>
    <row r="600" spans="2:8" ht="15.75" customHeight="1" x14ac:dyDescent="0.15">
      <c r="B600" s="11"/>
      <c r="C600" s="11"/>
      <c r="D600" s="12"/>
      <c r="E600" s="12"/>
      <c r="F600" s="11"/>
      <c r="G600" s="11"/>
      <c r="H600" s="11"/>
    </row>
    <row r="601" spans="2:8" ht="15.75" customHeight="1" x14ac:dyDescent="0.15">
      <c r="B601" s="11"/>
      <c r="C601" s="11"/>
      <c r="D601" s="12"/>
      <c r="E601" s="12"/>
      <c r="F601" s="11"/>
      <c r="G601" s="11"/>
      <c r="H601" s="11"/>
    </row>
    <row r="602" spans="2:8" ht="15.75" customHeight="1" x14ac:dyDescent="0.15">
      <c r="B602" s="11"/>
      <c r="C602" s="11"/>
      <c r="D602" s="12"/>
      <c r="E602" s="12"/>
      <c r="F602" s="11"/>
      <c r="G602" s="11"/>
      <c r="H602" s="11"/>
    </row>
    <row r="603" spans="2:8" ht="15.75" customHeight="1" x14ac:dyDescent="0.15">
      <c r="B603" s="11"/>
      <c r="C603" s="11"/>
      <c r="D603" s="12"/>
      <c r="E603" s="12"/>
      <c r="F603" s="11"/>
      <c r="G603" s="11"/>
      <c r="H603" s="11"/>
    </row>
    <row r="604" spans="2:8" ht="15.75" customHeight="1" x14ac:dyDescent="0.15">
      <c r="B604" s="11"/>
      <c r="C604" s="11"/>
      <c r="D604" s="12"/>
      <c r="E604" s="12"/>
      <c r="F604" s="11"/>
      <c r="G604" s="11"/>
      <c r="H604" s="11"/>
    </row>
    <row r="605" spans="2:8" ht="15.75" customHeight="1" x14ac:dyDescent="0.15">
      <c r="B605" s="11"/>
      <c r="C605" s="11"/>
      <c r="D605" s="12"/>
      <c r="E605" s="12"/>
      <c r="F605" s="11"/>
      <c r="G605" s="11"/>
      <c r="H605" s="11"/>
    </row>
    <row r="606" spans="2:8" ht="15.75" customHeight="1" x14ac:dyDescent="0.15">
      <c r="B606" s="11"/>
      <c r="C606" s="11"/>
      <c r="D606" s="12"/>
      <c r="E606" s="12"/>
      <c r="F606" s="11"/>
      <c r="G606" s="11"/>
      <c r="H606" s="11"/>
    </row>
    <row r="607" spans="2:8" ht="15.75" customHeight="1" x14ac:dyDescent="0.15">
      <c r="B607" s="11"/>
      <c r="C607" s="11"/>
      <c r="D607" s="12"/>
      <c r="E607" s="12"/>
      <c r="F607" s="11"/>
      <c r="G607" s="11"/>
      <c r="H607" s="11"/>
    </row>
    <row r="608" spans="2:8" ht="15.75" customHeight="1" x14ac:dyDescent="0.15">
      <c r="B608" s="11"/>
      <c r="C608" s="11"/>
      <c r="D608" s="12"/>
      <c r="E608" s="12"/>
      <c r="F608" s="11"/>
      <c r="G608" s="11"/>
      <c r="H608" s="11"/>
    </row>
    <row r="609" spans="2:8" ht="15.75" customHeight="1" x14ac:dyDescent="0.15">
      <c r="B609" s="11"/>
      <c r="C609" s="11"/>
      <c r="D609" s="12"/>
      <c r="E609" s="12"/>
      <c r="F609" s="11"/>
      <c r="G609" s="11"/>
      <c r="H609" s="11"/>
    </row>
    <row r="610" spans="2:8" ht="15.75" customHeight="1" x14ac:dyDescent="0.15">
      <c r="B610" s="11"/>
      <c r="C610" s="11"/>
      <c r="D610" s="12"/>
      <c r="E610" s="12"/>
      <c r="F610" s="11"/>
      <c r="G610" s="11"/>
      <c r="H610" s="11"/>
    </row>
    <row r="611" spans="2:8" ht="15.75" customHeight="1" x14ac:dyDescent="0.15">
      <c r="B611" s="11"/>
      <c r="C611" s="11"/>
      <c r="D611" s="12"/>
      <c r="E611" s="12"/>
      <c r="F611" s="11"/>
      <c r="G611" s="11"/>
      <c r="H611" s="11"/>
    </row>
    <row r="612" spans="2:8" ht="15.75" customHeight="1" x14ac:dyDescent="0.15">
      <c r="B612" s="11"/>
      <c r="C612" s="11"/>
      <c r="D612" s="12"/>
      <c r="E612" s="12"/>
      <c r="F612" s="11"/>
      <c r="G612" s="11"/>
      <c r="H612" s="11"/>
    </row>
    <row r="613" spans="2:8" ht="15.75" customHeight="1" x14ac:dyDescent="0.15">
      <c r="B613" s="11"/>
      <c r="C613" s="11"/>
      <c r="D613" s="12"/>
      <c r="E613" s="12"/>
      <c r="F613" s="11"/>
      <c r="G613" s="11"/>
      <c r="H613" s="11"/>
    </row>
    <row r="614" spans="2:8" ht="15.75" customHeight="1" x14ac:dyDescent="0.15">
      <c r="B614" s="11"/>
      <c r="C614" s="11"/>
      <c r="D614" s="12"/>
      <c r="E614" s="12"/>
      <c r="F614" s="11"/>
      <c r="G614" s="11"/>
      <c r="H614" s="11"/>
    </row>
    <row r="615" spans="2:8" ht="15.75" customHeight="1" x14ac:dyDescent="0.15">
      <c r="B615" s="11"/>
      <c r="C615" s="11"/>
      <c r="D615" s="12"/>
      <c r="E615" s="12"/>
      <c r="F615" s="11"/>
      <c r="G615" s="11"/>
      <c r="H615" s="11"/>
    </row>
    <row r="616" spans="2:8" ht="15.75" customHeight="1" x14ac:dyDescent="0.15">
      <c r="B616" s="11"/>
      <c r="C616" s="11"/>
      <c r="D616" s="12"/>
      <c r="E616" s="12"/>
      <c r="F616" s="11"/>
      <c r="G616" s="11"/>
      <c r="H616" s="11"/>
    </row>
    <row r="617" spans="2:8" ht="15.75" customHeight="1" x14ac:dyDescent="0.15">
      <c r="B617" s="11"/>
      <c r="C617" s="11"/>
      <c r="D617" s="12"/>
      <c r="E617" s="12"/>
      <c r="F617" s="11"/>
      <c r="G617" s="11"/>
      <c r="H617" s="11"/>
    </row>
    <row r="618" spans="2:8" ht="15.75" customHeight="1" x14ac:dyDescent="0.15">
      <c r="B618" s="11"/>
      <c r="C618" s="11"/>
      <c r="D618" s="12"/>
      <c r="E618" s="12"/>
      <c r="F618" s="11"/>
      <c r="G618" s="11"/>
      <c r="H618" s="11"/>
    </row>
    <row r="619" spans="2:8" ht="15.75" customHeight="1" x14ac:dyDescent="0.15">
      <c r="B619" s="11"/>
      <c r="C619" s="11"/>
      <c r="D619" s="12"/>
      <c r="E619" s="12"/>
      <c r="F619" s="11"/>
      <c r="G619" s="11"/>
      <c r="H619" s="11"/>
    </row>
    <row r="620" spans="2:8" ht="15.75" customHeight="1" x14ac:dyDescent="0.15">
      <c r="B620" s="11"/>
      <c r="C620" s="11"/>
      <c r="D620" s="12"/>
      <c r="E620" s="12"/>
      <c r="F620" s="11"/>
      <c r="G620" s="11"/>
      <c r="H620" s="11"/>
    </row>
    <row r="621" spans="2:8" ht="15.75" customHeight="1" x14ac:dyDescent="0.15">
      <c r="B621" s="11"/>
      <c r="C621" s="11"/>
      <c r="D621" s="12"/>
      <c r="E621" s="12"/>
      <c r="F621" s="11"/>
      <c r="G621" s="11"/>
      <c r="H621" s="11"/>
    </row>
    <row r="622" spans="2:8" ht="15.75" customHeight="1" x14ac:dyDescent="0.15">
      <c r="B622" s="11"/>
      <c r="C622" s="11"/>
      <c r="D622" s="12"/>
      <c r="E622" s="12"/>
      <c r="F622" s="11"/>
      <c r="G622" s="11"/>
      <c r="H622" s="11"/>
    </row>
    <row r="623" spans="2:8" ht="15.75" customHeight="1" x14ac:dyDescent="0.15">
      <c r="B623" s="11"/>
      <c r="C623" s="11"/>
      <c r="D623" s="12"/>
      <c r="E623" s="12"/>
      <c r="F623" s="11"/>
      <c r="G623" s="11"/>
      <c r="H623" s="11"/>
    </row>
    <row r="624" spans="2:8" ht="15.75" customHeight="1" x14ac:dyDescent="0.15">
      <c r="B624" s="11"/>
      <c r="C624" s="11"/>
      <c r="D624" s="12"/>
      <c r="E624" s="12"/>
      <c r="F624" s="11"/>
      <c r="G624" s="11"/>
      <c r="H624" s="11"/>
    </row>
    <row r="625" spans="2:8" ht="15.75" customHeight="1" x14ac:dyDescent="0.15">
      <c r="B625" s="11"/>
      <c r="C625" s="11"/>
      <c r="D625" s="12"/>
      <c r="E625" s="12"/>
      <c r="F625" s="11"/>
      <c r="G625" s="11"/>
      <c r="H625" s="11"/>
    </row>
    <row r="626" spans="2:8" ht="15.75" customHeight="1" x14ac:dyDescent="0.15">
      <c r="B626" s="11"/>
      <c r="C626" s="11"/>
      <c r="D626" s="12"/>
      <c r="E626" s="12"/>
      <c r="F626" s="11"/>
      <c r="G626" s="11"/>
      <c r="H626" s="11"/>
    </row>
    <row r="627" spans="2:8" ht="15.75" customHeight="1" x14ac:dyDescent="0.15">
      <c r="B627" s="11"/>
      <c r="C627" s="11"/>
      <c r="D627" s="12"/>
      <c r="E627" s="12"/>
      <c r="F627" s="11"/>
      <c r="G627" s="11"/>
      <c r="H627" s="11"/>
    </row>
    <row r="628" spans="2:8" ht="15.75" customHeight="1" x14ac:dyDescent="0.15">
      <c r="B628" s="11"/>
      <c r="C628" s="11"/>
      <c r="D628" s="12"/>
      <c r="E628" s="12"/>
      <c r="F628" s="11"/>
      <c r="G628" s="11"/>
      <c r="H628" s="11"/>
    </row>
    <row r="629" spans="2:8" ht="15.75" customHeight="1" x14ac:dyDescent="0.15">
      <c r="B629" s="11"/>
      <c r="C629" s="11"/>
      <c r="D629" s="12"/>
      <c r="E629" s="12"/>
      <c r="F629" s="11"/>
      <c r="G629" s="11"/>
      <c r="H629" s="11"/>
    </row>
    <row r="630" spans="2:8" ht="15.75" customHeight="1" x14ac:dyDescent="0.15">
      <c r="B630" s="11"/>
      <c r="C630" s="11"/>
      <c r="D630" s="12"/>
      <c r="E630" s="12"/>
      <c r="F630" s="11"/>
      <c r="G630" s="11"/>
      <c r="H630" s="11"/>
    </row>
    <row r="631" spans="2:8" ht="15.75" customHeight="1" x14ac:dyDescent="0.15">
      <c r="B631" s="11"/>
      <c r="C631" s="11"/>
      <c r="D631" s="12"/>
      <c r="E631" s="12"/>
      <c r="F631" s="11"/>
      <c r="G631" s="11"/>
      <c r="H631" s="11"/>
    </row>
    <row r="632" spans="2:8" ht="15.75" customHeight="1" x14ac:dyDescent="0.15">
      <c r="B632" s="11"/>
      <c r="C632" s="11"/>
      <c r="D632" s="12"/>
      <c r="E632" s="12"/>
      <c r="F632" s="11"/>
      <c r="G632" s="11"/>
      <c r="H632" s="11"/>
    </row>
    <row r="633" spans="2:8" ht="15.75" customHeight="1" x14ac:dyDescent="0.15">
      <c r="B633" s="11"/>
      <c r="C633" s="11"/>
      <c r="D633" s="12"/>
      <c r="E633" s="12"/>
      <c r="F633" s="11"/>
      <c r="G633" s="11"/>
      <c r="H633" s="11"/>
    </row>
    <row r="634" spans="2:8" ht="15.75" customHeight="1" x14ac:dyDescent="0.15">
      <c r="B634" s="11"/>
      <c r="C634" s="11"/>
      <c r="D634" s="12"/>
      <c r="E634" s="12"/>
      <c r="F634" s="11"/>
      <c r="G634" s="11"/>
      <c r="H634" s="11"/>
    </row>
    <row r="635" spans="2:8" ht="15.75" customHeight="1" x14ac:dyDescent="0.15">
      <c r="B635" s="11"/>
      <c r="C635" s="11"/>
      <c r="D635" s="12"/>
      <c r="E635" s="12"/>
      <c r="F635" s="11"/>
      <c r="G635" s="11"/>
      <c r="H635" s="11"/>
    </row>
    <row r="636" spans="2:8" ht="15.75" customHeight="1" x14ac:dyDescent="0.15">
      <c r="B636" s="11"/>
      <c r="C636" s="11"/>
      <c r="D636" s="12"/>
      <c r="E636" s="12"/>
      <c r="F636" s="11"/>
      <c r="G636" s="11"/>
      <c r="H636" s="11"/>
    </row>
    <row r="637" spans="2:8" ht="15.75" customHeight="1" x14ac:dyDescent="0.15">
      <c r="B637" s="11"/>
      <c r="C637" s="11"/>
      <c r="D637" s="12"/>
      <c r="E637" s="12"/>
      <c r="F637" s="11"/>
      <c r="G637" s="11"/>
      <c r="H637" s="11"/>
    </row>
    <row r="638" spans="2:8" ht="15.75" customHeight="1" x14ac:dyDescent="0.15">
      <c r="B638" s="11"/>
      <c r="C638" s="11"/>
      <c r="D638" s="12"/>
      <c r="E638" s="12"/>
      <c r="F638" s="11"/>
      <c r="G638" s="11"/>
      <c r="H638" s="11"/>
    </row>
    <row r="639" spans="2:8" ht="15.75" customHeight="1" x14ac:dyDescent="0.15">
      <c r="B639" s="11"/>
      <c r="C639" s="11"/>
      <c r="D639" s="12"/>
      <c r="E639" s="12"/>
      <c r="F639" s="11"/>
      <c r="G639" s="11"/>
      <c r="H639" s="11"/>
    </row>
    <row r="640" spans="2:8" ht="15.75" customHeight="1" x14ac:dyDescent="0.15">
      <c r="B640" s="11"/>
      <c r="C640" s="11"/>
      <c r="D640" s="12"/>
      <c r="E640" s="12"/>
      <c r="F640" s="11"/>
      <c r="G640" s="11"/>
      <c r="H640" s="11"/>
    </row>
    <row r="641" spans="2:8" ht="15.75" customHeight="1" x14ac:dyDescent="0.15">
      <c r="B641" s="11"/>
      <c r="C641" s="11"/>
      <c r="D641" s="12"/>
      <c r="E641" s="12"/>
      <c r="F641" s="11"/>
      <c r="G641" s="11"/>
      <c r="H641" s="11"/>
    </row>
    <row r="642" spans="2:8" ht="15.75" customHeight="1" x14ac:dyDescent="0.15">
      <c r="B642" s="11"/>
      <c r="C642" s="11"/>
      <c r="D642" s="12"/>
      <c r="E642" s="12"/>
      <c r="F642" s="11"/>
      <c r="G642" s="11"/>
      <c r="H642" s="11"/>
    </row>
    <row r="643" spans="2:8" ht="15.75" customHeight="1" x14ac:dyDescent="0.15">
      <c r="B643" s="11"/>
      <c r="C643" s="11"/>
      <c r="D643" s="12"/>
      <c r="E643" s="12"/>
      <c r="F643" s="11"/>
      <c r="G643" s="11"/>
      <c r="H643" s="11"/>
    </row>
    <row r="644" spans="2:8" ht="15.75" customHeight="1" x14ac:dyDescent="0.15">
      <c r="B644" s="11"/>
      <c r="C644" s="11"/>
      <c r="D644" s="12"/>
      <c r="E644" s="12"/>
      <c r="F644" s="11"/>
      <c r="G644" s="11"/>
      <c r="H644" s="11"/>
    </row>
    <row r="645" spans="2:8" ht="15.75" customHeight="1" x14ac:dyDescent="0.15">
      <c r="B645" s="11"/>
      <c r="C645" s="11"/>
      <c r="D645" s="12"/>
      <c r="E645" s="12"/>
      <c r="F645" s="11"/>
      <c r="G645" s="11"/>
      <c r="H645" s="11"/>
    </row>
    <row r="646" spans="2:8" ht="15.75" customHeight="1" x14ac:dyDescent="0.15">
      <c r="B646" s="11"/>
      <c r="C646" s="11"/>
      <c r="D646" s="12"/>
      <c r="E646" s="12"/>
      <c r="F646" s="11"/>
      <c r="G646" s="11"/>
      <c r="H646" s="11"/>
    </row>
    <row r="647" spans="2:8" ht="15.75" customHeight="1" x14ac:dyDescent="0.15">
      <c r="B647" s="11"/>
      <c r="C647" s="11"/>
      <c r="D647" s="12"/>
      <c r="E647" s="12"/>
      <c r="F647" s="11"/>
      <c r="G647" s="11"/>
      <c r="H647" s="11"/>
    </row>
    <row r="648" spans="2:8" ht="15.75" customHeight="1" x14ac:dyDescent="0.15">
      <c r="B648" s="11"/>
      <c r="C648" s="11"/>
      <c r="D648" s="12"/>
      <c r="E648" s="12"/>
      <c r="F648" s="11"/>
      <c r="G648" s="11"/>
      <c r="H648" s="11"/>
    </row>
    <row r="649" spans="2:8" ht="15.75" customHeight="1" x14ac:dyDescent="0.15">
      <c r="B649" s="11"/>
      <c r="C649" s="11"/>
      <c r="D649" s="12"/>
      <c r="E649" s="12"/>
      <c r="F649" s="11"/>
      <c r="G649" s="11"/>
      <c r="H649" s="11"/>
    </row>
    <row r="650" spans="2:8" ht="15.75" customHeight="1" x14ac:dyDescent="0.15">
      <c r="B650" s="11"/>
      <c r="C650" s="11"/>
      <c r="D650" s="12"/>
      <c r="E650" s="12"/>
      <c r="F650" s="11"/>
      <c r="G650" s="11"/>
      <c r="H650" s="11"/>
    </row>
    <row r="651" spans="2:8" ht="15.75" customHeight="1" x14ac:dyDescent="0.15">
      <c r="B651" s="11"/>
      <c r="C651" s="11"/>
      <c r="D651" s="12"/>
      <c r="E651" s="12"/>
      <c r="F651" s="11"/>
      <c r="G651" s="11"/>
      <c r="H651" s="11"/>
    </row>
    <row r="652" spans="2:8" ht="15.75" customHeight="1" x14ac:dyDescent="0.15">
      <c r="B652" s="11"/>
      <c r="C652" s="11"/>
      <c r="D652" s="12"/>
      <c r="E652" s="12"/>
      <c r="F652" s="11"/>
      <c r="G652" s="11"/>
      <c r="H652" s="11"/>
    </row>
    <row r="653" spans="2:8" ht="15.75" customHeight="1" x14ac:dyDescent="0.15">
      <c r="B653" s="11"/>
      <c r="C653" s="11"/>
      <c r="D653" s="12"/>
      <c r="E653" s="12"/>
      <c r="F653" s="11"/>
      <c r="G653" s="11"/>
      <c r="H653" s="11"/>
    </row>
    <row r="654" spans="2:8" ht="15.75" customHeight="1" x14ac:dyDescent="0.15">
      <c r="B654" s="11"/>
      <c r="C654" s="11"/>
      <c r="D654" s="12"/>
      <c r="E654" s="12"/>
      <c r="F654" s="11"/>
      <c r="G654" s="11"/>
      <c r="H654" s="11"/>
    </row>
    <row r="655" spans="2:8" ht="15.75" customHeight="1" x14ac:dyDescent="0.15">
      <c r="B655" s="11"/>
      <c r="C655" s="11"/>
      <c r="D655" s="12"/>
      <c r="E655" s="12"/>
      <c r="F655" s="11"/>
      <c r="G655" s="11"/>
      <c r="H655" s="11"/>
    </row>
    <row r="656" spans="2:8" ht="15.75" customHeight="1" x14ac:dyDescent="0.15">
      <c r="B656" s="11"/>
      <c r="C656" s="11"/>
      <c r="D656" s="12"/>
      <c r="E656" s="12"/>
      <c r="F656" s="11"/>
      <c r="G656" s="11"/>
      <c r="H656" s="11"/>
    </row>
    <row r="657" spans="2:8" ht="15.75" customHeight="1" x14ac:dyDescent="0.15">
      <c r="B657" s="11"/>
      <c r="C657" s="11"/>
      <c r="D657" s="12"/>
      <c r="E657" s="12"/>
      <c r="F657" s="11"/>
      <c r="G657" s="11"/>
      <c r="H657" s="11"/>
    </row>
    <row r="658" spans="2:8" ht="15.75" customHeight="1" x14ac:dyDescent="0.15">
      <c r="B658" s="11"/>
      <c r="C658" s="11"/>
      <c r="D658" s="12"/>
      <c r="E658" s="12"/>
      <c r="F658" s="11"/>
      <c r="G658" s="11"/>
      <c r="H658" s="11"/>
    </row>
    <row r="659" spans="2:8" ht="15.75" customHeight="1" x14ac:dyDescent="0.15">
      <c r="B659" s="11"/>
      <c r="C659" s="11"/>
      <c r="D659" s="12"/>
      <c r="E659" s="12"/>
      <c r="F659" s="11"/>
      <c r="G659" s="11"/>
      <c r="H659" s="11"/>
    </row>
    <row r="660" spans="2:8" ht="15.75" customHeight="1" x14ac:dyDescent="0.15">
      <c r="B660" s="11"/>
      <c r="C660" s="11"/>
      <c r="D660" s="12"/>
      <c r="E660" s="12"/>
      <c r="F660" s="11"/>
      <c r="G660" s="11"/>
      <c r="H660" s="11"/>
    </row>
    <row r="661" spans="2:8" ht="15.75" customHeight="1" x14ac:dyDescent="0.15">
      <c r="B661" s="11"/>
      <c r="C661" s="11"/>
      <c r="D661" s="12"/>
      <c r="E661" s="12"/>
      <c r="F661" s="11"/>
      <c r="G661" s="11"/>
      <c r="H661" s="11"/>
    </row>
    <row r="662" spans="2:8" ht="15.75" customHeight="1" x14ac:dyDescent="0.15">
      <c r="B662" s="11"/>
      <c r="C662" s="11"/>
      <c r="D662" s="12"/>
      <c r="E662" s="12"/>
      <c r="F662" s="11"/>
      <c r="G662" s="11"/>
      <c r="H662" s="11"/>
    </row>
    <row r="663" spans="2:8" ht="15.75" customHeight="1" x14ac:dyDescent="0.15">
      <c r="B663" s="11"/>
      <c r="C663" s="11"/>
      <c r="D663" s="12"/>
      <c r="E663" s="12"/>
      <c r="F663" s="11"/>
      <c r="G663" s="11"/>
      <c r="H663" s="11"/>
    </row>
    <row r="664" spans="2:8" ht="15.75" customHeight="1" x14ac:dyDescent="0.15">
      <c r="B664" s="11"/>
      <c r="C664" s="11"/>
      <c r="D664" s="12"/>
      <c r="E664" s="12"/>
      <c r="F664" s="11"/>
      <c r="G664" s="11"/>
      <c r="H664" s="11"/>
    </row>
    <row r="665" spans="2:8" ht="15.75" customHeight="1" x14ac:dyDescent="0.15">
      <c r="B665" s="11"/>
      <c r="C665" s="11"/>
      <c r="D665" s="12"/>
      <c r="E665" s="12"/>
      <c r="F665" s="11"/>
      <c r="G665" s="11"/>
      <c r="H665" s="11"/>
    </row>
    <row r="666" spans="2:8" ht="15.75" customHeight="1" x14ac:dyDescent="0.15">
      <c r="B666" s="11"/>
      <c r="C666" s="11"/>
      <c r="D666" s="12"/>
      <c r="E666" s="12"/>
      <c r="F666" s="11"/>
      <c r="G666" s="11"/>
      <c r="H666" s="11"/>
    </row>
    <row r="667" spans="2:8" ht="15.75" customHeight="1" x14ac:dyDescent="0.15">
      <c r="B667" s="11"/>
      <c r="C667" s="11"/>
      <c r="D667" s="12"/>
      <c r="E667" s="12"/>
      <c r="F667" s="11"/>
      <c r="G667" s="11"/>
      <c r="H667" s="11"/>
    </row>
    <row r="668" spans="2:8" ht="15.75" customHeight="1" x14ac:dyDescent="0.15">
      <c r="B668" s="11"/>
      <c r="C668" s="11"/>
      <c r="D668" s="12"/>
      <c r="E668" s="12"/>
      <c r="F668" s="11"/>
      <c r="G668" s="11"/>
      <c r="H668" s="11"/>
    </row>
    <row r="669" spans="2:8" ht="15.75" customHeight="1" x14ac:dyDescent="0.15">
      <c r="B669" s="11"/>
      <c r="C669" s="11"/>
      <c r="D669" s="12"/>
      <c r="E669" s="12"/>
      <c r="F669" s="11"/>
      <c r="G669" s="11"/>
      <c r="H669" s="11"/>
    </row>
    <row r="670" spans="2:8" ht="15.75" customHeight="1" x14ac:dyDescent="0.15">
      <c r="B670" s="11"/>
      <c r="C670" s="11"/>
      <c r="D670" s="12"/>
      <c r="E670" s="12"/>
      <c r="F670" s="11"/>
      <c r="G670" s="11"/>
      <c r="H670" s="11"/>
    </row>
    <row r="671" spans="2:8" ht="15.75" customHeight="1" x14ac:dyDescent="0.15">
      <c r="B671" s="11"/>
      <c r="C671" s="11"/>
      <c r="D671" s="12"/>
      <c r="E671" s="12"/>
      <c r="F671" s="11"/>
      <c r="G671" s="11"/>
      <c r="H671" s="11"/>
    </row>
    <row r="672" spans="2:8" ht="15.75" customHeight="1" x14ac:dyDescent="0.15">
      <c r="B672" s="11"/>
      <c r="C672" s="11"/>
      <c r="D672" s="12"/>
      <c r="E672" s="12"/>
      <c r="F672" s="11"/>
      <c r="G672" s="11"/>
      <c r="H672" s="11"/>
    </row>
    <row r="673" spans="2:8" ht="15.75" customHeight="1" x14ac:dyDescent="0.15">
      <c r="B673" s="11"/>
      <c r="C673" s="11"/>
      <c r="D673" s="12"/>
      <c r="E673" s="12"/>
      <c r="F673" s="11"/>
      <c r="G673" s="11"/>
      <c r="H673" s="11"/>
    </row>
    <row r="674" spans="2:8" ht="15.75" customHeight="1" x14ac:dyDescent="0.15">
      <c r="B674" s="11"/>
      <c r="C674" s="11"/>
      <c r="D674" s="12"/>
      <c r="E674" s="12"/>
      <c r="F674" s="11"/>
      <c r="G674" s="11"/>
      <c r="H674" s="11"/>
    </row>
    <row r="675" spans="2:8" ht="15.75" customHeight="1" x14ac:dyDescent="0.15">
      <c r="B675" s="11"/>
      <c r="C675" s="11"/>
      <c r="D675" s="12"/>
      <c r="E675" s="12"/>
      <c r="F675" s="11"/>
      <c r="G675" s="11"/>
      <c r="H675" s="11"/>
    </row>
    <row r="676" spans="2:8" ht="15.75" customHeight="1" x14ac:dyDescent="0.15">
      <c r="B676" s="11"/>
      <c r="C676" s="11"/>
      <c r="D676" s="12"/>
      <c r="E676" s="12"/>
      <c r="F676" s="11"/>
      <c r="G676" s="11"/>
      <c r="H676" s="11"/>
    </row>
    <row r="677" spans="2:8" ht="15.75" customHeight="1" x14ac:dyDescent="0.15">
      <c r="B677" s="11"/>
      <c r="C677" s="11"/>
      <c r="D677" s="12"/>
      <c r="E677" s="12"/>
      <c r="F677" s="11"/>
      <c r="G677" s="11"/>
      <c r="H677" s="11"/>
    </row>
    <row r="678" spans="2:8" ht="15.75" customHeight="1" x14ac:dyDescent="0.15">
      <c r="B678" s="11"/>
      <c r="C678" s="11"/>
      <c r="D678" s="12"/>
      <c r="E678" s="12"/>
      <c r="F678" s="11"/>
      <c r="G678" s="11"/>
      <c r="H678" s="11"/>
    </row>
    <row r="679" spans="2:8" ht="15.75" customHeight="1" x14ac:dyDescent="0.15">
      <c r="B679" s="11"/>
      <c r="C679" s="11"/>
      <c r="D679" s="12"/>
      <c r="E679" s="12"/>
      <c r="F679" s="11"/>
      <c r="G679" s="11"/>
      <c r="H679" s="11"/>
    </row>
    <row r="680" spans="2:8" ht="15.75" customHeight="1" x14ac:dyDescent="0.15">
      <c r="B680" s="11"/>
      <c r="C680" s="11"/>
      <c r="D680" s="12"/>
      <c r="E680" s="12"/>
      <c r="F680" s="11"/>
      <c r="G680" s="11"/>
      <c r="H680" s="11"/>
    </row>
    <row r="681" spans="2:8" ht="15.75" customHeight="1" x14ac:dyDescent="0.15">
      <c r="B681" s="11"/>
      <c r="C681" s="11"/>
      <c r="D681" s="12"/>
      <c r="E681" s="12"/>
      <c r="F681" s="11"/>
      <c r="G681" s="11"/>
      <c r="H681" s="11"/>
    </row>
    <row r="682" spans="2:8" ht="15.75" customHeight="1" x14ac:dyDescent="0.15">
      <c r="B682" s="11"/>
      <c r="C682" s="11"/>
      <c r="D682" s="12"/>
      <c r="E682" s="12"/>
      <c r="F682" s="11"/>
      <c r="G682" s="11"/>
      <c r="H682" s="11"/>
    </row>
    <row r="683" spans="2:8" ht="15.75" customHeight="1" x14ac:dyDescent="0.15">
      <c r="B683" s="11"/>
      <c r="C683" s="11"/>
      <c r="D683" s="12"/>
      <c r="E683" s="12"/>
      <c r="F683" s="11"/>
      <c r="G683" s="11"/>
      <c r="H683" s="11"/>
    </row>
    <row r="684" spans="2:8" ht="15.75" customHeight="1" x14ac:dyDescent="0.15">
      <c r="B684" s="11"/>
      <c r="C684" s="11"/>
      <c r="D684" s="12"/>
      <c r="E684" s="12"/>
      <c r="F684" s="11"/>
      <c r="G684" s="11"/>
      <c r="H684" s="11"/>
    </row>
    <row r="685" spans="2:8" ht="15.75" customHeight="1" x14ac:dyDescent="0.15">
      <c r="B685" s="11"/>
      <c r="C685" s="11"/>
      <c r="D685" s="12"/>
      <c r="E685" s="12"/>
      <c r="F685" s="11"/>
      <c r="G685" s="11"/>
      <c r="H685" s="11"/>
    </row>
    <row r="686" spans="2:8" ht="15.75" customHeight="1" x14ac:dyDescent="0.15">
      <c r="B686" s="11"/>
      <c r="C686" s="11"/>
      <c r="D686" s="12"/>
      <c r="E686" s="12"/>
      <c r="F686" s="11"/>
      <c r="G686" s="11"/>
      <c r="H686" s="11"/>
    </row>
    <row r="687" spans="2:8" ht="15.75" customHeight="1" x14ac:dyDescent="0.15">
      <c r="B687" s="11"/>
      <c r="C687" s="11"/>
      <c r="D687" s="12"/>
      <c r="E687" s="12"/>
      <c r="F687" s="11"/>
      <c r="G687" s="11"/>
      <c r="H687" s="11"/>
    </row>
    <row r="688" spans="2:8" ht="15.75" customHeight="1" x14ac:dyDescent="0.15">
      <c r="B688" s="11"/>
      <c r="C688" s="11"/>
      <c r="D688" s="12"/>
      <c r="E688" s="12"/>
      <c r="F688" s="11"/>
      <c r="G688" s="11"/>
      <c r="H688" s="11"/>
    </row>
    <row r="689" spans="2:8" ht="15.75" customHeight="1" x14ac:dyDescent="0.15">
      <c r="B689" s="11"/>
      <c r="C689" s="11"/>
      <c r="D689" s="12"/>
      <c r="E689" s="12"/>
      <c r="F689" s="11"/>
      <c r="G689" s="11"/>
      <c r="H689" s="11"/>
    </row>
    <row r="690" spans="2:8" ht="15.75" customHeight="1" x14ac:dyDescent="0.15">
      <c r="B690" s="11"/>
      <c r="C690" s="11"/>
      <c r="D690" s="12"/>
      <c r="E690" s="12"/>
      <c r="F690" s="11"/>
      <c r="G690" s="11"/>
      <c r="H690" s="11"/>
    </row>
    <row r="691" spans="2:8" ht="15.75" customHeight="1" x14ac:dyDescent="0.15">
      <c r="B691" s="11"/>
      <c r="C691" s="11"/>
      <c r="D691" s="12"/>
      <c r="E691" s="12"/>
      <c r="F691" s="11"/>
      <c r="G691" s="11"/>
      <c r="H691" s="11"/>
    </row>
    <row r="692" spans="2:8" ht="15.75" customHeight="1" x14ac:dyDescent="0.15">
      <c r="B692" s="11"/>
      <c r="C692" s="11"/>
      <c r="D692" s="12"/>
      <c r="E692" s="12"/>
      <c r="F692" s="11"/>
      <c r="G692" s="11"/>
      <c r="H692" s="11"/>
    </row>
    <row r="693" spans="2:8" ht="15.75" customHeight="1" x14ac:dyDescent="0.15">
      <c r="B693" s="11"/>
      <c r="C693" s="11"/>
      <c r="D693" s="12"/>
      <c r="E693" s="12"/>
      <c r="F693" s="11"/>
      <c r="G693" s="11"/>
      <c r="H693" s="11"/>
    </row>
    <row r="694" spans="2:8" ht="15.75" customHeight="1" x14ac:dyDescent="0.15">
      <c r="B694" s="11"/>
      <c r="C694" s="11"/>
      <c r="D694" s="12"/>
      <c r="E694" s="12"/>
      <c r="F694" s="11"/>
      <c r="G694" s="11"/>
      <c r="H694" s="11"/>
    </row>
    <row r="695" spans="2:8" ht="15.75" customHeight="1" x14ac:dyDescent="0.15">
      <c r="B695" s="11"/>
      <c r="C695" s="11"/>
      <c r="D695" s="12"/>
      <c r="E695" s="12"/>
      <c r="F695" s="11"/>
      <c r="G695" s="11"/>
      <c r="H695" s="11"/>
    </row>
    <row r="696" spans="2:8" ht="15.75" customHeight="1" x14ac:dyDescent="0.15">
      <c r="B696" s="11"/>
      <c r="C696" s="11"/>
      <c r="D696" s="12"/>
      <c r="E696" s="12"/>
      <c r="F696" s="11"/>
      <c r="G696" s="11"/>
      <c r="H696" s="11"/>
    </row>
    <row r="697" spans="2:8" ht="15.75" customHeight="1" x14ac:dyDescent="0.15">
      <c r="B697" s="11"/>
      <c r="C697" s="11"/>
      <c r="D697" s="12"/>
      <c r="E697" s="12"/>
      <c r="F697" s="11"/>
      <c r="G697" s="11"/>
      <c r="H697" s="11"/>
    </row>
    <row r="698" spans="2:8" ht="15.75" customHeight="1" x14ac:dyDescent="0.15">
      <c r="B698" s="11"/>
      <c r="C698" s="11"/>
      <c r="D698" s="12"/>
      <c r="E698" s="12"/>
      <c r="F698" s="11"/>
      <c r="G698" s="11"/>
      <c r="H698" s="11"/>
    </row>
    <row r="699" spans="2:8" ht="15.75" customHeight="1" x14ac:dyDescent="0.15">
      <c r="B699" s="11"/>
      <c r="C699" s="11"/>
      <c r="D699" s="12"/>
      <c r="E699" s="12"/>
      <c r="F699" s="11"/>
      <c r="G699" s="11"/>
      <c r="H699" s="11"/>
    </row>
    <row r="700" spans="2:8" ht="15.75" customHeight="1" x14ac:dyDescent="0.15">
      <c r="B700" s="11"/>
      <c r="C700" s="11"/>
      <c r="D700" s="12"/>
      <c r="E700" s="12"/>
      <c r="F700" s="11"/>
      <c r="G700" s="11"/>
      <c r="H700" s="11"/>
    </row>
    <row r="701" spans="2:8" ht="15.75" customHeight="1" x14ac:dyDescent="0.15">
      <c r="B701" s="11"/>
      <c r="C701" s="11"/>
      <c r="D701" s="12"/>
      <c r="E701" s="12"/>
      <c r="F701" s="11"/>
      <c r="G701" s="11"/>
      <c r="H701" s="11"/>
    </row>
    <row r="702" spans="2:8" ht="15.75" customHeight="1" x14ac:dyDescent="0.15">
      <c r="B702" s="11"/>
      <c r="C702" s="11"/>
      <c r="D702" s="12"/>
      <c r="E702" s="12"/>
      <c r="F702" s="11"/>
      <c r="G702" s="11"/>
      <c r="H702" s="11"/>
    </row>
    <row r="703" spans="2:8" ht="15.75" customHeight="1" x14ac:dyDescent="0.15">
      <c r="B703" s="11"/>
      <c r="C703" s="11"/>
      <c r="D703" s="12"/>
      <c r="E703" s="12"/>
      <c r="F703" s="11"/>
      <c r="G703" s="11"/>
      <c r="H703" s="11"/>
    </row>
    <row r="704" spans="2:8" ht="15.75" customHeight="1" x14ac:dyDescent="0.15">
      <c r="B704" s="11"/>
      <c r="C704" s="11"/>
      <c r="D704" s="12"/>
      <c r="E704" s="12"/>
      <c r="F704" s="11"/>
      <c r="G704" s="11"/>
      <c r="H704" s="11"/>
    </row>
    <row r="705" spans="2:8" ht="15.75" customHeight="1" x14ac:dyDescent="0.15">
      <c r="B705" s="11"/>
      <c r="C705" s="11"/>
      <c r="D705" s="12"/>
      <c r="E705" s="12"/>
      <c r="F705" s="11"/>
      <c r="G705" s="11"/>
      <c r="H705" s="11"/>
    </row>
    <row r="706" spans="2:8" ht="15.75" customHeight="1" x14ac:dyDescent="0.15">
      <c r="B706" s="11"/>
      <c r="C706" s="11"/>
      <c r="D706" s="12"/>
      <c r="E706" s="12"/>
      <c r="F706" s="11"/>
      <c r="G706" s="11"/>
      <c r="H706" s="11"/>
    </row>
    <row r="707" spans="2:8" ht="15.75" customHeight="1" x14ac:dyDescent="0.15">
      <c r="B707" s="11"/>
      <c r="C707" s="11"/>
      <c r="D707" s="12"/>
      <c r="E707" s="12"/>
      <c r="F707" s="11"/>
      <c r="G707" s="11"/>
      <c r="H707" s="11"/>
    </row>
    <row r="708" spans="2:8" ht="15.75" customHeight="1" x14ac:dyDescent="0.15">
      <c r="B708" s="11"/>
      <c r="C708" s="11"/>
      <c r="D708" s="12"/>
      <c r="E708" s="12"/>
      <c r="F708" s="11"/>
      <c r="G708" s="11"/>
      <c r="H708" s="11"/>
    </row>
    <row r="709" spans="2:8" ht="15.75" customHeight="1" x14ac:dyDescent="0.15">
      <c r="B709" s="11"/>
      <c r="C709" s="11"/>
      <c r="D709" s="12"/>
      <c r="E709" s="12"/>
      <c r="F709" s="11"/>
      <c r="G709" s="11"/>
      <c r="H709" s="11"/>
    </row>
    <row r="710" spans="2:8" ht="15.75" customHeight="1" x14ac:dyDescent="0.15">
      <c r="B710" s="11"/>
      <c r="C710" s="11"/>
      <c r="D710" s="12"/>
      <c r="E710" s="12"/>
      <c r="F710" s="11"/>
      <c r="G710" s="11"/>
      <c r="H710" s="11"/>
    </row>
    <row r="711" spans="2:8" ht="15.75" customHeight="1" x14ac:dyDescent="0.15">
      <c r="B711" s="11"/>
      <c r="C711" s="11"/>
      <c r="D711" s="12"/>
      <c r="E711" s="12"/>
      <c r="F711" s="11"/>
      <c r="G711" s="11"/>
      <c r="H711" s="11"/>
    </row>
    <row r="712" spans="2:8" ht="15.75" customHeight="1" x14ac:dyDescent="0.15">
      <c r="B712" s="11"/>
      <c r="C712" s="11"/>
      <c r="D712" s="12"/>
      <c r="E712" s="12"/>
      <c r="F712" s="11"/>
      <c r="G712" s="11"/>
      <c r="H712" s="11"/>
    </row>
    <row r="713" spans="2:8" ht="15.75" customHeight="1" x14ac:dyDescent="0.15">
      <c r="B713" s="11"/>
      <c r="C713" s="11"/>
      <c r="D713" s="12"/>
      <c r="E713" s="12"/>
      <c r="F713" s="11"/>
      <c r="G713" s="11"/>
      <c r="H713" s="11"/>
    </row>
    <row r="714" spans="2:8" ht="15.75" customHeight="1" x14ac:dyDescent="0.15">
      <c r="B714" s="11"/>
      <c r="C714" s="11"/>
      <c r="D714" s="12"/>
      <c r="E714" s="12"/>
      <c r="F714" s="11"/>
      <c r="G714" s="11"/>
      <c r="H714" s="11"/>
    </row>
    <row r="715" spans="2:8" ht="15.75" customHeight="1" x14ac:dyDescent="0.15">
      <c r="B715" s="11"/>
      <c r="C715" s="11"/>
      <c r="D715" s="12"/>
      <c r="E715" s="12"/>
      <c r="F715" s="11"/>
      <c r="G715" s="11"/>
      <c r="H715" s="11"/>
    </row>
    <row r="716" spans="2:8" ht="15.75" customHeight="1" x14ac:dyDescent="0.15">
      <c r="B716" s="11"/>
      <c r="C716" s="11"/>
      <c r="D716" s="12"/>
      <c r="E716" s="12"/>
      <c r="F716" s="11"/>
      <c r="G716" s="11"/>
      <c r="H716" s="11"/>
    </row>
    <row r="717" spans="2:8" ht="15.75" customHeight="1" x14ac:dyDescent="0.15">
      <c r="B717" s="11"/>
      <c r="C717" s="11"/>
      <c r="D717" s="12"/>
      <c r="E717" s="12"/>
      <c r="F717" s="11"/>
      <c r="G717" s="11"/>
      <c r="H717" s="11"/>
    </row>
    <row r="718" spans="2:8" ht="15.75" customHeight="1" x14ac:dyDescent="0.15">
      <c r="B718" s="11"/>
      <c r="C718" s="11"/>
      <c r="D718" s="12"/>
      <c r="E718" s="12"/>
      <c r="F718" s="11"/>
      <c r="G718" s="11"/>
      <c r="H718" s="11"/>
    </row>
    <row r="719" spans="2:8" ht="15.75" customHeight="1" x14ac:dyDescent="0.15">
      <c r="B719" s="11"/>
      <c r="C719" s="11"/>
      <c r="D719" s="12"/>
      <c r="E719" s="12"/>
      <c r="F719" s="11"/>
      <c r="G719" s="11"/>
      <c r="H719" s="11"/>
    </row>
    <row r="720" spans="2:8" ht="15.75" customHeight="1" x14ac:dyDescent="0.15">
      <c r="B720" s="11"/>
      <c r="C720" s="11"/>
      <c r="D720" s="12"/>
      <c r="E720" s="12"/>
      <c r="F720" s="11"/>
      <c r="G720" s="11"/>
      <c r="H720" s="11"/>
    </row>
    <row r="721" spans="2:8" ht="15.75" customHeight="1" x14ac:dyDescent="0.15">
      <c r="B721" s="11"/>
      <c r="C721" s="11"/>
      <c r="D721" s="12"/>
      <c r="E721" s="12"/>
      <c r="F721" s="11"/>
      <c r="G721" s="11"/>
      <c r="H721" s="11"/>
    </row>
    <row r="722" spans="2:8" ht="15.75" customHeight="1" x14ac:dyDescent="0.15">
      <c r="B722" s="11"/>
      <c r="C722" s="11"/>
      <c r="D722" s="12"/>
      <c r="E722" s="12"/>
      <c r="F722" s="11"/>
      <c r="G722" s="11"/>
      <c r="H722" s="11"/>
    </row>
    <row r="723" spans="2:8" ht="15.75" customHeight="1" x14ac:dyDescent="0.15">
      <c r="B723" s="11"/>
      <c r="C723" s="11"/>
      <c r="D723" s="12"/>
      <c r="E723" s="12"/>
      <c r="F723" s="11"/>
      <c r="G723" s="11"/>
      <c r="H723" s="11"/>
    </row>
    <row r="724" spans="2:8" ht="15.75" customHeight="1" x14ac:dyDescent="0.15">
      <c r="B724" s="11"/>
      <c r="C724" s="11"/>
      <c r="D724" s="12"/>
      <c r="E724" s="12"/>
      <c r="F724" s="11"/>
      <c r="G724" s="11"/>
      <c r="H724" s="11"/>
    </row>
    <row r="725" spans="2:8" ht="15.75" customHeight="1" x14ac:dyDescent="0.15">
      <c r="B725" s="11"/>
      <c r="C725" s="11"/>
      <c r="D725" s="12"/>
      <c r="E725" s="12"/>
      <c r="F725" s="11"/>
      <c r="G725" s="11"/>
      <c r="H725" s="11"/>
    </row>
    <row r="726" spans="2:8" ht="15.75" customHeight="1" x14ac:dyDescent="0.15">
      <c r="B726" s="11"/>
      <c r="C726" s="11"/>
      <c r="D726" s="12"/>
      <c r="E726" s="12"/>
      <c r="F726" s="11"/>
      <c r="G726" s="11"/>
      <c r="H726" s="11"/>
    </row>
    <row r="727" spans="2:8" ht="15.75" customHeight="1" x14ac:dyDescent="0.15">
      <c r="B727" s="11"/>
      <c r="C727" s="11"/>
      <c r="D727" s="12"/>
      <c r="E727" s="12"/>
      <c r="F727" s="11"/>
      <c r="G727" s="11"/>
      <c r="H727" s="11"/>
    </row>
    <row r="728" spans="2:8" ht="15.75" customHeight="1" x14ac:dyDescent="0.15">
      <c r="B728" s="11"/>
      <c r="C728" s="11"/>
      <c r="D728" s="12"/>
      <c r="E728" s="12"/>
      <c r="F728" s="11"/>
      <c r="G728" s="11"/>
      <c r="H728" s="11"/>
    </row>
    <row r="729" spans="2:8" ht="15.75" customHeight="1" x14ac:dyDescent="0.15">
      <c r="B729" s="11"/>
      <c r="C729" s="11"/>
      <c r="D729" s="12"/>
      <c r="E729" s="12"/>
      <c r="F729" s="11"/>
      <c r="G729" s="11"/>
      <c r="H729" s="11"/>
    </row>
    <row r="730" spans="2:8" ht="15.75" customHeight="1" x14ac:dyDescent="0.15">
      <c r="B730" s="11"/>
      <c r="C730" s="11"/>
      <c r="D730" s="12"/>
      <c r="E730" s="12"/>
      <c r="F730" s="11"/>
      <c r="G730" s="11"/>
      <c r="H730" s="11"/>
    </row>
    <row r="731" spans="2:8" ht="15.75" customHeight="1" x14ac:dyDescent="0.15">
      <c r="B731" s="11"/>
      <c r="C731" s="11"/>
      <c r="D731" s="12"/>
      <c r="E731" s="12"/>
      <c r="F731" s="11"/>
      <c r="G731" s="11"/>
      <c r="H731" s="11"/>
    </row>
    <row r="732" spans="2:8" ht="15.75" customHeight="1" x14ac:dyDescent="0.15">
      <c r="B732" s="11"/>
      <c r="C732" s="11"/>
      <c r="D732" s="12"/>
      <c r="E732" s="12"/>
      <c r="F732" s="11"/>
      <c r="G732" s="11"/>
      <c r="H732" s="11"/>
    </row>
    <row r="733" spans="2:8" ht="15.75" customHeight="1" x14ac:dyDescent="0.15">
      <c r="B733" s="11"/>
      <c r="C733" s="11"/>
      <c r="D733" s="12"/>
      <c r="E733" s="12"/>
      <c r="F733" s="11"/>
      <c r="G733" s="11"/>
      <c r="H733" s="11"/>
    </row>
    <row r="734" spans="2:8" ht="15.75" customHeight="1" x14ac:dyDescent="0.15">
      <c r="B734" s="11"/>
      <c r="C734" s="11"/>
      <c r="D734" s="12"/>
      <c r="E734" s="12"/>
      <c r="F734" s="11"/>
      <c r="G734" s="11"/>
      <c r="H734" s="11"/>
    </row>
    <row r="735" spans="2:8" ht="15.75" customHeight="1" x14ac:dyDescent="0.15">
      <c r="B735" s="11"/>
      <c r="C735" s="11"/>
      <c r="D735" s="12"/>
      <c r="E735" s="12"/>
      <c r="F735" s="11"/>
      <c r="G735" s="11"/>
      <c r="H735" s="11"/>
    </row>
    <row r="736" spans="2:8" ht="15.75" customHeight="1" x14ac:dyDescent="0.15">
      <c r="B736" s="11"/>
      <c r="C736" s="11"/>
      <c r="D736" s="12"/>
      <c r="E736" s="12"/>
      <c r="F736" s="11"/>
      <c r="G736" s="11"/>
      <c r="H736" s="11"/>
    </row>
    <row r="737" spans="2:8" ht="15.75" customHeight="1" x14ac:dyDescent="0.15">
      <c r="B737" s="11"/>
      <c r="C737" s="11"/>
      <c r="D737" s="12"/>
      <c r="E737" s="12"/>
      <c r="F737" s="11"/>
      <c r="G737" s="11"/>
      <c r="H737" s="11"/>
    </row>
    <row r="738" spans="2:8" ht="15.75" customHeight="1" x14ac:dyDescent="0.15">
      <c r="B738" s="11"/>
      <c r="C738" s="11"/>
      <c r="D738" s="12"/>
      <c r="E738" s="12"/>
      <c r="F738" s="11"/>
      <c r="G738" s="11"/>
      <c r="H738" s="11"/>
    </row>
    <row r="739" spans="2:8" ht="15.75" customHeight="1" x14ac:dyDescent="0.15">
      <c r="B739" s="11"/>
      <c r="C739" s="11"/>
      <c r="D739" s="12"/>
      <c r="E739" s="12"/>
      <c r="F739" s="11"/>
      <c r="G739" s="11"/>
      <c r="H739" s="11"/>
    </row>
    <row r="740" spans="2:8" ht="15.75" customHeight="1" x14ac:dyDescent="0.15">
      <c r="B740" s="11"/>
      <c r="C740" s="11"/>
      <c r="D740" s="12"/>
      <c r="E740" s="12"/>
      <c r="F740" s="11"/>
      <c r="G740" s="11"/>
      <c r="H740" s="11"/>
    </row>
    <row r="741" spans="2:8" ht="15.75" customHeight="1" x14ac:dyDescent="0.15">
      <c r="B741" s="11"/>
      <c r="C741" s="11"/>
      <c r="D741" s="12"/>
      <c r="E741" s="12"/>
      <c r="F741" s="11"/>
      <c r="G741" s="11"/>
      <c r="H741" s="11"/>
    </row>
    <row r="742" spans="2:8" ht="15.75" customHeight="1" x14ac:dyDescent="0.15">
      <c r="B742" s="11"/>
      <c r="C742" s="11"/>
      <c r="D742" s="12"/>
      <c r="E742" s="12"/>
      <c r="F742" s="11"/>
      <c r="G742" s="11"/>
      <c r="H742" s="11"/>
    </row>
    <row r="743" spans="2:8" ht="15.75" customHeight="1" x14ac:dyDescent="0.15">
      <c r="B743" s="11"/>
      <c r="C743" s="11"/>
      <c r="D743" s="12"/>
      <c r="E743" s="12"/>
      <c r="F743" s="11"/>
      <c r="G743" s="11"/>
      <c r="H743" s="11"/>
    </row>
    <row r="744" spans="2:8" ht="15.75" customHeight="1" x14ac:dyDescent="0.15">
      <c r="B744" s="11"/>
      <c r="C744" s="11"/>
      <c r="D744" s="12"/>
      <c r="E744" s="12"/>
      <c r="F744" s="11"/>
      <c r="G744" s="11"/>
      <c r="H744" s="11"/>
    </row>
    <row r="745" spans="2:8" ht="15.75" customHeight="1" x14ac:dyDescent="0.15">
      <c r="B745" s="11"/>
      <c r="C745" s="11"/>
      <c r="D745" s="12"/>
      <c r="E745" s="12"/>
      <c r="F745" s="11"/>
      <c r="G745" s="11"/>
      <c r="H745" s="11"/>
    </row>
    <row r="746" spans="2:8" ht="15.75" customHeight="1" x14ac:dyDescent="0.15">
      <c r="B746" s="11"/>
      <c r="C746" s="11"/>
      <c r="D746" s="12"/>
      <c r="E746" s="12"/>
      <c r="F746" s="11"/>
      <c r="G746" s="11"/>
      <c r="H746" s="11"/>
    </row>
    <row r="747" spans="2:8" ht="15.75" customHeight="1" x14ac:dyDescent="0.15">
      <c r="B747" s="11"/>
      <c r="C747" s="11"/>
      <c r="D747" s="12"/>
      <c r="E747" s="12"/>
      <c r="F747" s="11"/>
      <c r="G747" s="11"/>
      <c r="H747" s="11"/>
    </row>
    <row r="748" spans="2:8" ht="15.75" customHeight="1" x14ac:dyDescent="0.15">
      <c r="B748" s="11"/>
      <c r="C748" s="11"/>
      <c r="D748" s="12"/>
      <c r="E748" s="12"/>
      <c r="F748" s="11"/>
      <c r="G748" s="11"/>
      <c r="H748" s="11"/>
    </row>
    <row r="749" spans="2:8" ht="15.75" customHeight="1" x14ac:dyDescent="0.15">
      <c r="B749" s="11"/>
      <c r="C749" s="11"/>
      <c r="D749" s="12"/>
      <c r="E749" s="12"/>
      <c r="F749" s="11"/>
      <c r="G749" s="11"/>
      <c r="H749" s="11"/>
    </row>
    <row r="750" spans="2:8" ht="15.75" customHeight="1" x14ac:dyDescent="0.15">
      <c r="B750" s="11"/>
      <c r="C750" s="11"/>
      <c r="D750" s="12"/>
      <c r="E750" s="12"/>
      <c r="F750" s="11"/>
      <c r="G750" s="11"/>
      <c r="H750" s="11"/>
    </row>
    <row r="751" spans="2:8" ht="15.75" customHeight="1" x14ac:dyDescent="0.15">
      <c r="B751" s="11"/>
      <c r="C751" s="11"/>
      <c r="D751" s="12"/>
      <c r="E751" s="12"/>
      <c r="F751" s="11"/>
      <c r="G751" s="11"/>
      <c r="H751" s="11"/>
    </row>
    <row r="752" spans="2:8" ht="15.75" customHeight="1" x14ac:dyDescent="0.15">
      <c r="B752" s="11"/>
      <c r="C752" s="11"/>
      <c r="D752" s="12"/>
      <c r="E752" s="12"/>
      <c r="F752" s="11"/>
      <c r="G752" s="11"/>
      <c r="H752" s="11"/>
    </row>
    <row r="753" spans="2:8" ht="15.75" customHeight="1" x14ac:dyDescent="0.15">
      <c r="B753" s="11"/>
      <c r="C753" s="11"/>
      <c r="D753" s="12"/>
      <c r="E753" s="12"/>
      <c r="F753" s="11"/>
      <c r="G753" s="11"/>
      <c r="H753" s="11"/>
    </row>
    <row r="754" spans="2:8" ht="15.75" customHeight="1" x14ac:dyDescent="0.15">
      <c r="B754" s="11"/>
      <c r="C754" s="11"/>
      <c r="D754" s="12"/>
      <c r="E754" s="12"/>
      <c r="F754" s="11"/>
      <c r="G754" s="11"/>
      <c r="H754" s="11"/>
    </row>
    <row r="755" spans="2:8" ht="15.75" customHeight="1" x14ac:dyDescent="0.15">
      <c r="B755" s="11"/>
      <c r="C755" s="11"/>
      <c r="D755" s="12"/>
      <c r="E755" s="12"/>
      <c r="F755" s="11"/>
      <c r="G755" s="11"/>
      <c r="H755" s="11"/>
    </row>
    <row r="756" spans="2:8" ht="15.75" customHeight="1" x14ac:dyDescent="0.15">
      <c r="B756" s="11"/>
      <c r="C756" s="11"/>
      <c r="D756" s="12"/>
      <c r="E756" s="12"/>
      <c r="F756" s="11"/>
      <c r="G756" s="11"/>
      <c r="H756" s="11"/>
    </row>
    <row r="757" spans="2:8" ht="15.75" customHeight="1" x14ac:dyDescent="0.15">
      <c r="B757" s="11"/>
      <c r="C757" s="11"/>
      <c r="D757" s="12"/>
      <c r="E757" s="12"/>
      <c r="F757" s="11"/>
      <c r="G757" s="11"/>
      <c r="H757" s="11"/>
    </row>
    <row r="758" spans="2:8" ht="15.75" customHeight="1" x14ac:dyDescent="0.15">
      <c r="B758" s="11"/>
      <c r="C758" s="11"/>
      <c r="D758" s="12"/>
      <c r="E758" s="12"/>
      <c r="F758" s="11"/>
      <c r="G758" s="11"/>
      <c r="H758" s="11"/>
    </row>
    <row r="759" spans="2:8" ht="15.75" customHeight="1" x14ac:dyDescent="0.15">
      <c r="B759" s="11"/>
      <c r="C759" s="11"/>
      <c r="D759" s="12"/>
      <c r="E759" s="12"/>
      <c r="F759" s="11"/>
      <c r="G759" s="11"/>
      <c r="H759" s="11"/>
    </row>
    <row r="760" spans="2:8" ht="15.75" customHeight="1" x14ac:dyDescent="0.15">
      <c r="B760" s="11"/>
      <c r="C760" s="11"/>
      <c r="D760" s="12"/>
      <c r="E760" s="12"/>
      <c r="F760" s="11"/>
      <c r="G760" s="11"/>
      <c r="H760" s="11"/>
    </row>
    <row r="761" spans="2:8" ht="15.75" customHeight="1" x14ac:dyDescent="0.15">
      <c r="B761" s="11"/>
      <c r="C761" s="11"/>
      <c r="D761" s="12"/>
      <c r="E761" s="12"/>
      <c r="F761" s="11"/>
      <c r="G761" s="11"/>
      <c r="H761" s="11"/>
    </row>
    <row r="762" spans="2:8" ht="15.75" customHeight="1" x14ac:dyDescent="0.15">
      <c r="B762" s="11"/>
      <c r="C762" s="11"/>
      <c r="D762" s="12"/>
      <c r="E762" s="12"/>
      <c r="F762" s="11"/>
      <c r="G762" s="11"/>
      <c r="H762" s="11"/>
    </row>
    <row r="763" spans="2:8" ht="15.75" customHeight="1" x14ac:dyDescent="0.15">
      <c r="B763" s="11"/>
      <c r="C763" s="11"/>
      <c r="D763" s="12"/>
      <c r="E763" s="12"/>
      <c r="F763" s="11"/>
      <c r="G763" s="11"/>
      <c r="H763" s="11"/>
    </row>
    <row r="764" spans="2:8" ht="15.75" customHeight="1" x14ac:dyDescent="0.15">
      <c r="B764" s="11"/>
      <c r="C764" s="11"/>
      <c r="D764" s="12"/>
      <c r="E764" s="12"/>
      <c r="F764" s="11"/>
      <c r="G764" s="11"/>
      <c r="H764" s="11"/>
    </row>
    <row r="765" spans="2:8" ht="15.75" customHeight="1" x14ac:dyDescent="0.15">
      <c r="B765" s="11"/>
      <c r="C765" s="11"/>
      <c r="D765" s="12"/>
      <c r="E765" s="12"/>
      <c r="F765" s="11"/>
      <c r="G765" s="11"/>
      <c r="H765" s="11"/>
    </row>
    <row r="766" spans="2:8" ht="15.75" customHeight="1" x14ac:dyDescent="0.15">
      <c r="B766" s="11"/>
      <c r="C766" s="11"/>
      <c r="D766" s="12"/>
      <c r="E766" s="12"/>
      <c r="F766" s="11"/>
      <c r="G766" s="11"/>
      <c r="H766" s="11"/>
    </row>
    <row r="767" spans="2:8" ht="15.75" customHeight="1" x14ac:dyDescent="0.15">
      <c r="B767" s="11"/>
      <c r="C767" s="11"/>
      <c r="D767" s="12"/>
      <c r="E767" s="12"/>
      <c r="F767" s="11"/>
      <c r="G767" s="11"/>
      <c r="H767" s="11"/>
    </row>
    <row r="768" spans="2:8" ht="15.75" customHeight="1" x14ac:dyDescent="0.15">
      <c r="B768" s="11"/>
      <c r="C768" s="11"/>
      <c r="D768" s="12"/>
      <c r="E768" s="12"/>
      <c r="F768" s="11"/>
      <c r="G768" s="11"/>
      <c r="H768" s="11"/>
    </row>
    <row r="769" spans="2:8" ht="15.75" customHeight="1" x14ac:dyDescent="0.15">
      <c r="B769" s="11"/>
      <c r="C769" s="11"/>
      <c r="D769" s="12"/>
      <c r="E769" s="12"/>
      <c r="F769" s="11"/>
      <c r="G769" s="11"/>
      <c r="H769" s="11"/>
    </row>
    <row r="770" spans="2:8" ht="15.75" customHeight="1" x14ac:dyDescent="0.15">
      <c r="B770" s="11"/>
      <c r="C770" s="11"/>
      <c r="D770" s="12"/>
      <c r="E770" s="12"/>
      <c r="F770" s="11"/>
      <c r="G770" s="11"/>
      <c r="H770" s="11"/>
    </row>
    <row r="771" spans="2:8" ht="15.75" customHeight="1" x14ac:dyDescent="0.15">
      <c r="B771" s="11"/>
      <c r="C771" s="11"/>
      <c r="D771" s="12"/>
      <c r="E771" s="12"/>
      <c r="F771" s="11"/>
      <c r="G771" s="11"/>
      <c r="H771" s="11"/>
    </row>
    <row r="772" spans="2:8" ht="15.75" customHeight="1" x14ac:dyDescent="0.15">
      <c r="B772" s="11"/>
      <c r="C772" s="11"/>
      <c r="D772" s="12"/>
      <c r="E772" s="12"/>
      <c r="F772" s="11"/>
      <c r="G772" s="11"/>
      <c r="H772" s="11"/>
    </row>
    <row r="773" spans="2:8" ht="15.75" customHeight="1" x14ac:dyDescent="0.15">
      <c r="B773" s="11"/>
      <c r="C773" s="11"/>
      <c r="D773" s="12"/>
      <c r="E773" s="12"/>
      <c r="F773" s="11"/>
      <c r="G773" s="11"/>
      <c r="H773" s="11"/>
    </row>
    <row r="774" spans="2:8" ht="15.75" customHeight="1" x14ac:dyDescent="0.15">
      <c r="B774" s="11"/>
      <c r="C774" s="11"/>
      <c r="D774" s="12"/>
      <c r="E774" s="12"/>
      <c r="F774" s="11"/>
      <c r="G774" s="11"/>
      <c r="H774" s="11"/>
    </row>
    <row r="775" spans="2:8" ht="15.75" customHeight="1" x14ac:dyDescent="0.15">
      <c r="B775" s="11"/>
      <c r="C775" s="11"/>
      <c r="D775" s="12"/>
      <c r="E775" s="12"/>
      <c r="F775" s="11"/>
      <c r="G775" s="11"/>
      <c r="H775" s="11"/>
    </row>
    <row r="776" spans="2:8" ht="15.75" customHeight="1" x14ac:dyDescent="0.15">
      <c r="B776" s="11"/>
      <c r="C776" s="11"/>
      <c r="D776" s="12"/>
      <c r="E776" s="12"/>
      <c r="F776" s="11"/>
      <c r="G776" s="11"/>
      <c r="H776" s="11"/>
    </row>
    <row r="777" spans="2:8" ht="15.75" customHeight="1" x14ac:dyDescent="0.15">
      <c r="B777" s="11"/>
      <c r="C777" s="11"/>
      <c r="D777" s="12"/>
      <c r="E777" s="12"/>
      <c r="F777" s="11"/>
      <c r="G777" s="11"/>
      <c r="H777" s="11"/>
    </row>
    <row r="778" spans="2:8" ht="15.75" customHeight="1" x14ac:dyDescent="0.15">
      <c r="B778" s="11"/>
      <c r="C778" s="11"/>
      <c r="D778" s="12"/>
      <c r="E778" s="12"/>
      <c r="F778" s="11"/>
      <c r="G778" s="11"/>
      <c r="H778" s="11"/>
    </row>
    <row r="779" spans="2:8" ht="15.75" customHeight="1" x14ac:dyDescent="0.15">
      <c r="B779" s="11"/>
      <c r="C779" s="11"/>
      <c r="D779" s="12"/>
      <c r="E779" s="12"/>
      <c r="F779" s="11"/>
      <c r="G779" s="11"/>
      <c r="H779" s="11"/>
    </row>
    <row r="780" spans="2:8" ht="15.75" customHeight="1" x14ac:dyDescent="0.15">
      <c r="B780" s="11"/>
      <c r="C780" s="11"/>
      <c r="D780" s="12"/>
      <c r="E780" s="12"/>
      <c r="F780" s="11"/>
      <c r="G780" s="11"/>
      <c r="H780" s="11"/>
    </row>
    <row r="781" spans="2:8" ht="15.75" customHeight="1" x14ac:dyDescent="0.15">
      <c r="B781" s="11"/>
      <c r="C781" s="11"/>
      <c r="D781" s="12"/>
      <c r="E781" s="12"/>
      <c r="F781" s="11"/>
      <c r="G781" s="11"/>
      <c r="H781" s="11"/>
    </row>
    <row r="782" spans="2:8" ht="15.75" customHeight="1" x14ac:dyDescent="0.15">
      <c r="B782" s="11"/>
      <c r="C782" s="11"/>
      <c r="D782" s="12"/>
      <c r="E782" s="12"/>
      <c r="F782" s="11"/>
      <c r="G782" s="11"/>
      <c r="H782" s="11"/>
    </row>
    <row r="783" spans="2:8" ht="15.75" customHeight="1" x14ac:dyDescent="0.15">
      <c r="B783" s="11"/>
      <c r="C783" s="11"/>
      <c r="D783" s="12"/>
      <c r="E783" s="12"/>
      <c r="F783" s="11"/>
      <c r="G783" s="11"/>
      <c r="H783" s="11"/>
    </row>
    <row r="784" spans="2:8" ht="15.75" customHeight="1" x14ac:dyDescent="0.15">
      <c r="B784" s="11"/>
      <c r="C784" s="11"/>
      <c r="D784" s="12"/>
      <c r="E784" s="12"/>
      <c r="F784" s="11"/>
      <c r="G784" s="11"/>
      <c r="H784" s="11"/>
    </row>
    <row r="785" spans="2:8" ht="15.75" customHeight="1" x14ac:dyDescent="0.15">
      <c r="B785" s="11"/>
      <c r="C785" s="11"/>
      <c r="D785" s="12"/>
      <c r="E785" s="12"/>
      <c r="F785" s="11"/>
      <c r="G785" s="11"/>
      <c r="H785" s="11"/>
    </row>
    <row r="786" spans="2:8" ht="15.75" customHeight="1" x14ac:dyDescent="0.15">
      <c r="B786" s="11"/>
      <c r="C786" s="11"/>
      <c r="D786" s="12"/>
      <c r="E786" s="12"/>
      <c r="F786" s="11"/>
      <c r="G786" s="11"/>
      <c r="H786" s="11"/>
    </row>
    <row r="787" spans="2:8" ht="15.75" customHeight="1" x14ac:dyDescent="0.15">
      <c r="B787" s="11"/>
      <c r="C787" s="11"/>
      <c r="D787" s="12"/>
      <c r="E787" s="12"/>
      <c r="F787" s="11"/>
      <c r="G787" s="11"/>
      <c r="H787" s="11"/>
    </row>
    <row r="788" spans="2:8" ht="15.75" customHeight="1" x14ac:dyDescent="0.15">
      <c r="B788" s="11"/>
      <c r="C788" s="11"/>
      <c r="D788" s="12"/>
      <c r="E788" s="12"/>
      <c r="F788" s="11"/>
      <c r="G788" s="11"/>
      <c r="H788" s="11"/>
    </row>
    <row r="789" spans="2:8" ht="15.75" customHeight="1" x14ac:dyDescent="0.15">
      <c r="B789" s="11"/>
      <c r="C789" s="11"/>
      <c r="D789" s="12"/>
      <c r="E789" s="12"/>
      <c r="F789" s="11"/>
      <c r="G789" s="11"/>
      <c r="H789" s="11"/>
    </row>
    <row r="790" spans="2:8" ht="15.75" customHeight="1" x14ac:dyDescent="0.15">
      <c r="B790" s="11"/>
      <c r="C790" s="11"/>
      <c r="D790" s="12"/>
      <c r="E790" s="12"/>
      <c r="F790" s="11"/>
      <c r="G790" s="11"/>
      <c r="H790" s="11"/>
    </row>
    <row r="791" spans="2:8" ht="15.75" customHeight="1" x14ac:dyDescent="0.15">
      <c r="B791" s="11"/>
      <c r="C791" s="11"/>
      <c r="D791" s="12"/>
      <c r="E791" s="12"/>
      <c r="F791" s="11"/>
      <c r="G791" s="11"/>
      <c r="H791" s="11"/>
    </row>
    <row r="792" spans="2:8" ht="15.75" customHeight="1" x14ac:dyDescent="0.15">
      <c r="B792" s="11"/>
      <c r="C792" s="11"/>
      <c r="D792" s="12"/>
      <c r="E792" s="12"/>
      <c r="F792" s="11"/>
      <c r="G792" s="11"/>
      <c r="H792" s="11"/>
    </row>
    <row r="793" spans="2:8" ht="15.75" customHeight="1" x14ac:dyDescent="0.15">
      <c r="B793" s="11"/>
      <c r="C793" s="11"/>
      <c r="D793" s="12"/>
      <c r="E793" s="12"/>
      <c r="F793" s="11"/>
      <c r="G793" s="11"/>
      <c r="H793" s="11"/>
    </row>
    <row r="794" spans="2:8" ht="15.75" customHeight="1" x14ac:dyDescent="0.15">
      <c r="B794" s="11"/>
      <c r="C794" s="11"/>
      <c r="D794" s="12"/>
      <c r="E794" s="12"/>
      <c r="F794" s="11"/>
      <c r="G794" s="11"/>
      <c r="H794" s="11"/>
    </row>
    <row r="795" spans="2:8" ht="15.75" customHeight="1" x14ac:dyDescent="0.15">
      <c r="B795" s="11"/>
      <c r="C795" s="11"/>
      <c r="D795" s="12"/>
      <c r="E795" s="12"/>
      <c r="F795" s="11"/>
      <c r="G795" s="11"/>
      <c r="H795" s="11"/>
    </row>
    <row r="796" spans="2:8" ht="15.75" customHeight="1" x14ac:dyDescent="0.15">
      <c r="B796" s="11"/>
      <c r="C796" s="11"/>
      <c r="D796" s="12"/>
      <c r="E796" s="12"/>
      <c r="F796" s="11"/>
      <c r="G796" s="11"/>
      <c r="H796" s="11"/>
    </row>
    <row r="797" spans="2:8" ht="15.75" customHeight="1" x14ac:dyDescent="0.15">
      <c r="B797" s="11"/>
      <c r="C797" s="11"/>
      <c r="D797" s="12"/>
      <c r="E797" s="12"/>
      <c r="F797" s="11"/>
      <c r="G797" s="11"/>
      <c r="H797" s="11"/>
    </row>
    <row r="798" spans="2:8" ht="15.75" customHeight="1" x14ac:dyDescent="0.15">
      <c r="B798" s="11"/>
      <c r="C798" s="11"/>
      <c r="D798" s="12"/>
      <c r="E798" s="12"/>
      <c r="F798" s="11"/>
      <c r="G798" s="11"/>
      <c r="H798" s="11"/>
    </row>
    <row r="799" spans="2:8" ht="15.75" customHeight="1" x14ac:dyDescent="0.15">
      <c r="B799" s="11"/>
      <c r="C799" s="11"/>
      <c r="D799" s="12"/>
      <c r="E799" s="12"/>
      <c r="F799" s="11"/>
      <c r="G799" s="11"/>
      <c r="H799" s="11"/>
    </row>
    <row r="800" spans="2:8" ht="15.75" customHeight="1" x14ac:dyDescent="0.15">
      <c r="B800" s="11"/>
      <c r="C800" s="11"/>
      <c r="D800" s="12"/>
      <c r="E800" s="12"/>
      <c r="F800" s="11"/>
      <c r="G800" s="11"/>
      <c r="H800" s="11"/>
    </row>
    <row r="801" spans="2:8" ht="15.75" customHeight="1" x14ac:dyDescent="0.15">
      <c r="B801" s="11"/>
      <c r="C801" s="11"/>
      <c r="D801" s="12"/>
      <c r="E801" s="12"/>
      <c r="F801" s="11"/>
      <c r="G801" s="11"/>
      <c r="H801" s="11"/>
    </row>
    <row r="802" spans="2:8" ht="15.75" customHeight="1" x14ac:dyDescent="0.15">
      <c r="B802" s="11"/>
      <c r="C802" s="11"/>
      <c r="D802" s="12"/>
      <c r="E802" s="12"/>
      <c r="F802" s="11"/>
      <c r="G802" s="11"/>
      <c r="H802" s="11"/>
    </row>
    <row r="803" spans="2:8" ht="15.75" customHeight="1" x14ac:dyDescent="0.15">
      <c r="B803" s="11"/>
      <c r="C803" s="11"/>
      <c r="D803" s="12"/>
      <c r="E803" s="12"/>
      <c r="F803" s="11"/>
      <c r="G803" s="11"/>
      <c r="H803" s="11"/>
    </row>
    <row r="804" spans="2:8" ht="15.75" customHeight="1" x14ac:dyDescent="0.15">
      <c r="B804" s="11"/>
      <c r="C804" s="11"/>
      <c r="D804" s="12"/>
      <c r="E804" s="12"/>
      <c r="F804" s="11"/>
      <c r="G804" s="11"/>
      <c r="H804" s="11"/>
    </row>
    <row r="805" spans="2:8" ht="15.75" customHeight="1" x14ac:dyDescent="0.15">
      <c r="B805" s="11"/>
      <c r="C805" s="11"/>
      <c r="D805" s="12"/>
      <c r="E805" s="12"/>
      <c r="F805" s="11"/>
      <c r="G805" s="11"/>
      <c r="H805" s="11"/>
    </row>
    <row r="806" spans="2:8" ht="15.75" customHeight="1" x14ac:dyDescent="0.15">
      <c r="B806" s="11"/>
      <c r="C806" s="11"/>
      <c r="D806" s="12"/>
      <c r="E806" s="12"/>
      <c r="F806" s="11"/>
      <c r="G806" s="11"/>
      <c r="H806" s="11"/>
    </row>
    <row r="807" spans="2:8" ht="15.75" customHeight="1" x14ac:dyDescent="0.15">
      <c r="B807" s="11"/>
      <c r="C807" s="11"/>
      <c r="D807" s="12"/>
      <c r="E807" s="12"/>
      <c r="F807" s="11"/>
      <c r="G807" s="11"/>
      <c r="H807" s="11"/>
    </row>
    <row r="808" spans="2:8" ht="15.75" customHeight="1" x14ac:dyDescent="0.15">
      <c r="B808" s="11"/>
      <c r="C808" s="11"/>
      <c r="D808" s="12"/>
      <c r="E808" s="12"/>
      <c r="F808" s="11"/>
      <c r="G808" s="11"/>
      <c r="H808" s="11"/>
    </row>
    <row r="809" spans="2:8" ht="15.75" customHeight="1" x14ac:dyDescent="0.15">
      <c r="B809" s="11"/>
      <c r="C809" s="11"/>
      <c r="D809" s="12"/>
      <c r="E809" s="12"/>
      <c r="F809" s="11"/>
      <c r="G809" s="11"/>
      <c r="H809" s="11"/>
    </row>
    <row r="810" spans="2:8" ht="15.75" customHeight="1" x14ac:dyDescent="0.15">
      <c r="B810" s="11"/>
      <c r="C810" s="11"/>
      <c r="D810" s="12"/>
      <c r="E810" s="12"/>
      <c r="F810" s="11"/>
      <c r="G810" s="11"/>
      <c r="H810" s="11"/>
    </row>
    <row r="811" spans="2:8" ht="15.75" customHeight="1" x14ac:dyDescent="0.15">
      <c r="B811" s="11"/>
      <c r="C811" s="11"/>
      <c r="D811" s="12"/>
      <c r="E811" s="12"/>
      <c r="F811" s="11"/>
      <c r="G811" s="11"/>
      <c r="H811" s="11"/>
    </row>
    <row r="812" spans="2:8" ht="15.75" customHeight="1" x14ac:dyDescent="0.15">
      <c r="B812" s="11"/>
      <c r="C812" s="11"/>
      <c r="D812" s="12"/>
      <c r="E812" s="12"/>
      <c r="F812" s="11"/>
      <c r="G812" s="11"/>
      <c r="H812" s="11"/>
    </row>
    <row r="813" spans="2:8" ht="15.75" customHeight="1" x14ac:dyDescent="0.15">
      <c r="B813" s="11"/>
      <c r="C813" s="11"/>
      <c r="D813" s="12"/>
      <c r="E813" s="12"/>
      <c r="F813" s="11"/>
      <c r="G813" s="11"/>
      <c r="H813" s="11"/>
    </row>
    <row r="814" spans="2:8" ht="15.75" customHeight="1" x14ac:dyDescent="0.15">
      <c r="B814" s="11"/>
      <c r="C814" s="11"/>
      <c r="D814" s="12"/>
      <c r="E814" s="12"/>
      <c r="F814" s="11"/>
      <c r="G814" s="11"/>
      <c r="H814" s="11"/>
    </row>
    <row r="815" spans="2:8" ht="15.75" customHeight="1" x14ac:dyDescent="0.15">
      <c r="B815" s="11"/>
      <c r="C815" s="11"/>
      <c r="D815" s="12"/>
      <c r="E815" s="12"/>
      <c r="F815" s="11"/>
      <c r="G815" s="11"/>
      <c r="H815" s="11"/>
    </row>
    <row r="816" spans="2:8" ht="15.75" customHeight="1" x14ac:dyDescent="0.15">
      <c r="B816" s="11"/>
      <c r="C816" s="11"/>
      <c r="D816" s="12"/>
      <c r="E816" s="12"/>
      <c r="F816" s="11"/>
      <c r="G816" s="11"/>
      <c r="H816" s="11"/>
    </row>
    <row r="817" spans="2:8" ht="15.75" customHeight="1" x14ac:dyDescent="0.15">
      <c r="B817" s="11"/>
      <c r="C817" s="11"/>
      <c r="D817" s="12"/>
      <c r="E817" s="12"/>
      <c r="F817" s="11"/>
      <c r="G817" s="11"/>
      <c r="H817" s="11"/>
    </row>
    <row r="818" spans="2:8" ht="15.75" customHeight="1" x14ac:dyDescent="0.15">
      <c r="B818" s="11"/>
      <c r="C818" s="11"/>
      <c r="D818" s="12"/>
      <c r="E818" s="12"/>
      <c r="F818" s="11"/>
      <c r="G818" s="11"/>
      <c r="H818" s="11"/>
    </row>
    <row r="819" spans="2:8" ht="15.75" customHeight="1" x14ac:dyDescent="0.15">
      <c r="B819" s="11"/>
      <c r="C819" s="11"/>
      <c r="D819" s="12"/>
      <c r="E819" s="12"/>
      <c r="F819" s="11"/>
      <c r="G819" s="11"/>
      <c r="H819" s="11"/>
    </row>
    <row r="820" spans="2:8" ht="15.75" customHeight="1" x14ac:dyDescent="0.15">
      <c r="B820" s="11"/>
      <c r="C820" s="11"/>
      <c r="D820" s="12"/>
      <c r="E820" s="12"/>
      <c r="F820" s="11"/>
      <c r="G820" s="11"/>
      <c r="H820" s="11"/>
    </row>
    <row r="821" spans="2:8" ht="15.75" customHeight="1" x14ac:dyDescent="0.15">
      <c r="B821" s="11"/>
      <c r="C821" s="11"/>
      <c r="D821" s="12"/>
      <c r="E821" s="12"/>
      <c r="F821" s="11"/>
      <c r="G821" s="11"/>
      <c r="H821" s="11"/>
    </row>
    <row r="822" spans="2:8" ht="15.75" customHeight="1" x14ac:dyDescent="0.15">
      <c r="B822" s="11"/>
      <c r="C822" s="11"/>
      <c r="D822" s="12"/>
      <c r="E822" s="12"/>
      <c r="F822" s="11"/>
      <c r="G822" s="11"/>
      <c r="H822" s="11"/>
    </row>
    <row r="823" spans="2:8" ht="15.75" customHeight="1" x14ac:dyDescent="0.15">
      <c r="B823" s="11"/>
      <c r="C823" s="11"/>
      <c r="D823" s="12"/>
      <c r="E823" s="12"/>
      <c r="F823" s="11"/>
      <c r="G823" s="11"/>
      <c r="H823" s="11"/>
    </row>
    <row r="824" spans="2:8" ht="15.75" customHeight="1" x14ac:dyDescent="0.15">
      <c r="B824" s="11"/>
      <c r="C824" s="11"/>
      <c r="D824" s="12"/>
      <c r="E824" s="12"/>
      <c r="F824" s="11"/>
      <c r="G824" s="11"/>
      <c r="H824" s="11"/>
    </row>
    <row r="825" spans="2:8" ht="15.75" customHeight="1" x14ac:dyDescent="0.15">
      <c r="B825" s="11"/>
      <c r="C825" s="11"/>
      <c r="D825" s="12"/>
      <c r="E825" s="12"/>
      <c r="F825" s="11"/>
      <c r="G825" s="11"/>
      <c r="H825" s="11"/>
    </row>
    <row r="826" spans="2:8" ht="15.75" customHeight="1" x14ac:dyDescent="0.15">
      <c r="B826" s="11"/>
      <c r="C826" s="11"/>
      <c r="D826" s="12"/>
      <c r="E826" s="12"/>
      <c r="F826" s="11"/>
      <c r="G826" s="11"/>
      <c r="H826" s="11"/>
    </row>
    <row r="827" spans="2:8" ht="15.75" customHeight="1" x14ac:dyDescent="0.15">
      <c r="B827" s="11"/>
      <c r="C827" s="11"/>
      <c r="D827" s="12"/>
      <c r="E827" s="12"/>
      <c r="F827" s="11"/>
      <c r="G827" s="11"/>
      <c r="H827" s="11"/>
    </row>
    <row r="828" spans="2:8" ht="15.75" customHeight="1" x14ac:dyDescent="0.15">
      <c r="B828" s="11"/>
      <c r="C828" s="11"/>
      <c r="D828" s="12"/>
      <c r="E828" s="12"/>
      <c r="F828" s="11"/>
      <c r="G828" s="11"/>
      <c r="H828" s="11"/>
    </row>
    <row r="829" spans="2:8" ht="15.75" customHeight="1" x14ac:dyDescent="0.15">
      <c r="B829" s="11"/>
      <c r="C829" s="11"/>
      <c r="D829" s="12"/>
      <c r="E829" s="12"/>
      <c r="F829" s="11"/>
      <c r="G829" s="11"/>
      <c r="H829" s="11"/>
    </row>
    <row r="830" spans="2:8" ht="15.75" customHeight="1" x14ac:dyDescent="0.15">
      <c r="B830" s="11"/>
      <c r="C830" s="11"/>
      <c r="D830" s="12"/>
      <c r="E830" s="12"/>
      <c r="F830" s="11"/>
      <c r="G830" s="11"/>
      <c r="H830" s="11"/>
    </row>
    <row r="831" spans="2:8" ht="15.75" customHeight="1" x14ac:dyDescent="0.15">
      <c r="B831" s="11"/>
      <c r="C831" s="11"/>
      <c r="D831" s="12"/>
      <c r="E831" s="12"/>
      <c r="F831" s="11"/>
      <c r="G831" s="11"/>
      <c r="H831" s="11"/>
    </row>
    <row r="832" spans="2:8" ht="15.75" customHeight="1" x14ac:dyDescent="0.15">
      <c r="B832" s="11"/>
      <c r="C832" s="11"/>
      <c r="D832" s="12"/>
      <c r="E832" s="12"/>
      <c r="F832" s="11"/>
      <c r="G832" s="11"/>
      <c r="H832" s="11"/>
    </row>
    <row r="833" spans="2:8" ht="15.75" customHeight="1" x14ac:dyDescent="0.15">
      <c r="B833" s="11"/>
      <c r="C833" s="11"/>
      <c r="D833" s="12"/>
      <c r="E833" s="12"/>
      <c r="F833" s="11"/>
      <c r="G833" s="11"/>
      <c r="H833" s="11"/>
    </row>
    <row r="834" spans="2:8" ht="15.75" customHeight="1" x14ac:dyDescent="0.15">
      <c r="B834" s="11"/>
      <c r="C834" s="11"/>
      <c r="D834" s="12"/>
      <c r="E834" s="12"/>
      <c r="F834" s="11"/>
      <c r="G834" s="11"/>
      <c r="H834" s="11"/>
    </row>
    <row r="835" spans="2:8" ht="15.75" customHeight="1" x14ac:dyDescent="0.15">
      <c r="B835" s="11"/>
      <c r="C835" s="11"/>
      <c r="D835" s="12"/>
      <c r="E835" s="12"/>
      <c r="F835" s="11"/>
      <c r="G835" s="11"/>
      <c r="H835" s="11"/>
    </row>
    <row r="836" spans="2:8" ht="15.75" customHeight="1" x14ac:dyDescent="0.15">
      <c r="B836" s="11"/>
      <c r="C836" s="11"/>
      <c r="D836" s="12"/>
      <c r="E836" s="12"/>
      <c r="F836" s="11"/>
      <c r="G836" s="11"/>
      <c r="H836" s="11"/>
    </row>
    <row r="837" spans="2:8" ht="15.75" customHeight="1" x14ac:dyDescent="0.15">
      <c r="B837" s="11"/>
      <c r="C837" s="11"/>
      <c r="D837" s="12"/>
      <c r="E837" s="12"/>
      <c r="F837" s="11"/>
      <c r="G837" s="11"/>
      <c r="H837" s="11"/>
    </row>
    <row r="838" spans="2:8" ht="15.75" customHeight="1" x14ac:dyDescent="0.15">
      <c r="B838" s="11"/>
      <c r="C838" s="11"/>
      <c r="D838" s="12"/>
      <c r="E838" s="12"/>
      <c r="F838" s="11"/>
      <c r="G838" s="11"/>
      <c r="H838" s="11"/>
    </row>
    <row r="839" spans="2:8" ht="15.75" customHeight="1" x14ac:dyDescent="0.15">
      <c r="B839" s="11"/>
      <c r="C839" s="11"/>
      <c r="D839" s="12"/>
      <c r="E839" s="12"/>
      <c r="F839" s="11"/>
      <c r="G839" s="11"/>
      <c r="H839" s="11"/>
    </row>
    <row r="840" spans="2:8" ht="15.75" customHeight="1" x14ac:dyDescent="0.15">
      <c r="B840" s="11"/>
      <c r="C840" s="11"/>
      <c r="D840" s="12"/>
      <c r="E840" s="12"/>
      <c r="F840" s="11"/>
      <c r="G840" s="11"/>
      <c r="H840" s="11"/>
    </row>
    <row r="841" spans="2:8" ht="15.75" customHeight="1" x14ac:dyDescent="0.15">
      <c r="B841" s="11"/>
      <c r="C841" s="11"/>
      <c r="D841" s="12"/>
      <c r="E841" s="12"/>
      <c r="F841" s="11"/>
      <c r="G841" s="11"/>
      <c r="H841" s="11"/>
    </row>
    <row r="842" spans="2:8" ht="15.75" customHeight="1" x14ac:dyDescent="0.15">
      <c r="B842" s="11"/>
      <c r="C842" s="11"/>
      <c r="D842" s="12"/>
      <c r="E842" s="12"/>
      <c r="F842" s="11"/>
      <c r="G842" s="11"/>
      <c r="H842" s="11"/>
    </row>
    <row r="843" spans="2:8" ht="15.75" customHeight="1" x14ac:dyDescent="0.15">
      <c r="B843" s="11"/>
      <c r="C843" s="11"/>
      <c r="D843" s="12"/>
      <c r="E843" s="12"/>
      <c r="F843" s="11"/>
      <c r="G843" s="11"/>
      <c r="H843" s="11"/>
    </row>
    <row r="844" spans="2:8" ht="15.75" customHeight="1" x14ac:dyDescent="0.15">
      <c r="B844" s="11"/>
      <c r="C844" s="11"/>
      <c r="D844" s="12"/>
      <c r="E844" s="12"/>
      <c r="F844" s="11"/>
      <c r="G844" s="11"/>
      <c r="H844" s="11"/>
    </row>
    <row r="845" spans="2:8" ht="15.75" customHeight="1" x14ac:dyDescent="0.15">
      <c r="B845" s="11"/>
      <c r="C845" s="11"/>
      <c r="D845" s="12"/>
      <c r="E845" s="12"/>
      <c r="F845" s="11"/>
      <c r="G845" s="11"/>
      <c r="H845" s="11"/>
    </row>
    <row r="846" spans="2:8" ht="15.75" customHeight="1" x14ac:dyDescent="0.15">
      <c r="B846" s="11"/>
      <c r="C846" s="11"/>
      <c r="D846" s="12"/>
      <c r="E846" s="12"/>
      <c r="F846" s="11"/>
      <c r="G846" s="11"/>
      <c r="H846" s="11"/>
    </row>
    <row r="847" spans="2:8" ht="15.75" customHeight="1" x14ac:dyDescent="0.15">
      <c r="B847" s="11"/>
      <c r="C847" s="11"/>
      <c r="D847" s="12"/>
      <c r="E847" s="12"/>
      <c r="F847" s="11"/>
      <c r="G847" s="11"/>
      <c r="H847" s="11"/>
    </row>
    <row r="848" spans="2:8" ht="15.75" customHeight="1" x14ac:dyDescent="0.15">
      <c r="B848" s="11"/>
      <c r="C848" s="11"/>
      <c r="D848" s="12"/>
      <c r="E848" s="12"/>
      <c r="F848" s="11"/>
      <c r="G848" s="11"/>
      <c r="H848" s="11"/>
    </row>
    <row r="849" spans="2:8" ht="15.75" customHeight="1" x14ac:dyDescent="0.15">
      <c r="B849" s="11"/>
      <c r="C849" s="11"/>
      <c r="D849" s="12"/>
      <c r="E849" s="12"/>
      <c r="F849" s="11"/>
      <c r="G849" s="11"/>
      <c r="H849" s="11"/>
    </row>
    <row r="850" spans="2:8" ht="15.75" customHeight="1" x14ac:dyDescent="0.15">
      <c r="B850" s="11"/>
      <c r="C850" s="11"/>
      <c r="D850" s="12"/>
      <c r="E850" s="12"/>
      <c r="F850" s="11"/>
      <c r="G850" s="11"/>
      <c r="H850" s="11"/>
    </row>
    <row r="851" spans="2:8" ht="15.75" customHeight="1" x14ac:dyDescent="0.15">
      <c r="B851" s="11"/>
      <c r="C851" s="11"/>
      <c r="D851" s="12"/>
      <c r="E851" s="12"/>
      <c r="F851" s="11"/>
      <c r="G851" s="11"/>
      <c r="H851" s="11"/>
    </row>
    <row r="852" spans="2:8" ht="15.75" customHeight="1" x14ac:dyDescent="0.15">
      <c r="B852" s="11"/>
      <c r="C852" s="11"/>
      <c r="D852" s="12"/>
      <c r="E852" s="12"/>
      <c r="F852" s="11"/>
      <c r="G852" s="11"/>
      <c r="H852" s="11"/>
    </row>
    <row r="853" spans="2:8" ht="15.75" customHeight="1" x14ac:dyDescent="0.15">
      <c r="B853" s="11"/>
      <c r="C853" s="11"/>
      <c r="D853" s="12"/>
      <c r="E853" s="12"/>
      <c r="F853" s="11"/>
      <c r="G853" s="11"/>
      <c r="H853" s="11"/>
    </row>
    <row r="854" spans="2:8" ht="15.75" customHeight="1" x14ac:dyDescent="0.15">
      <c r="B854" s="11"/>
      <c r="C854" s="11"/>
      <c r="D854" s="12"/>
      <c r="E854" s="12"/>
      <c r="F854" s="11"/>
      <c r="G854" s="11"/>
      <c r="H854" s="11"/>
    </row>
    <row r="855" spans="2:8" ht="15.75" customHeight="1" x14ac:dyDescent="0.15">
      <c r="B855" s="11"/>
      <c r="C855" s="11"/>
      <c r="D855" s="12"/>
      <c r="E855" s="12"/>
      <c r="F855" s="11"/>
      <c r="G855" s="11"/>
      <c r="H855" s="11"/>
    </row>
    <row r="856" spans="2:8" ht="15.75" customHeight="1" x14ac:dyDescent="0.15">
      <c r="B856" s="11"/>
      <c r="C856" s="11"/>
      <c r="D856" s="12"/>
      <c r="E856" s="12"/>
      <c r="F856" s="11"/>
      <c r="G856" s="11"/>
      <c r="H856" s="11"/>
    </row>
    <row r="857" spans="2:8" ht="15.75" customHeight="1" x14ac:dyDescent="0.15">
      <c r="B857" s="11"/>
      <c r="C857" s="11"/>
      <c r="D857" s="12"/>
      <c r="E857" s="12"/>
      <c r="F857" s="11"/>
      <c r="G857" s="11"/>
      <c r="H857" s="11"/>
    </row>
    <row r="858" spans="2:8" ht="15.75" customHeight="1" x14ac:dyDescent="0.15">
      <c r="B858" s="11"/>
      <c r="C858" s="11"/>
      <c r="D858" s="12"/>
      <c r="E858" s="12"/>
      <c r="F858" s="11"/>
      <c r="G858" s="11"/>
      <c r="H858" s="11"/>
    </row>
    <row r="859" spans="2:8" ht="15.75" customHeight="1" x14ac:dyDescent="0.15">
      <c r="B859" s="11"/>
      <c r="C859" s="11"/>
      <c r="D859" s="12"/>
      <c r="E859" s="12"/>
      <c r="F859" s="11"/>
      <c r="G859" s="11"/>
      <c r="H859" s="11"/>
    </row>
    <row r="860" spans="2:8" ht="15.75" customHeight="1" x14ac:dyDescent="0.15">
      <c r="B860" s="11"/>
      <c r="C860" s="11"/>
      <c r="D860" s="12"/>
      <c r="E860" s="12"/>
      <c r="F860" s="11"/>
      <c r="G860" s="11"/>
      <c r="H860" s="11"/>
    </row>
    <row r="861" spans="2:8" ht="15.75" customHeight="1" x14ac:dyDescent="0.15">
      <c r="B861" s="11"/>
      <c r="C861" s="11"/>
      <c r="D861" s="12"/>
      <c r="E861" s="12"/>
      <c r="F861" s="11"/>
      <c r="G861" s="11"/>
      <c r="H861" s="11"/>
    </row>
    <row r="862" spans="2:8" ht="15.75" customHeight="1" x14ac:dyDescent="0.15">
      <c r="B862" s="11"/>
      <c r="C862" s="11"/>
      <c r="D862" s="12"/>
      <c r="E862" s="12"/>
      <c r="F862" s="11"/>
      <c r="G862" s="11"/>
      <c r="H862" s="11"/>
    </row>
    <row r="863" spans="2:8" ht="15.75" customHeight="1" x14ac:dyDescent="0.15">
      <c r="B863" s="11"/>
      <c r="C863" s="11"/>
      <c r="D863" s="12"/>
      <c r="E863" s="12"/>
      <c r="F863" s="11"/>
      <c r="G863" s="11"/>
      <c r="H863" s="11"/>
    </row>
    <row r="864" spans="2:8" ht="15.75" customHeight="1" x14ac:dyDescent="0.15">
      <c r="B864" s="11"/>
      <c r="C864" s="11"/>
      <c r="D864" s="12"/>
      <c r="E864" s="12"/>
      <c r="F864" s="11"/>
      <c r="G864" s="11"/>
      <c r="H864" s="11"/>
    </row>
    <row r="865" spans="2:8" ht="15.75" customHeight="1" x14ac:dyDescent="0.15">
      <c r="B865" s="11"/>
      <c r="C865" s="11"/>
      <c r="D865" s="12"/>
      <c r="E865" s="12"/>
      <c r="F865" s="11"/>
      <c r="G865" s="11"/>
      <c r="H865" s="11"/>
    </row>
    <row r="866" spans="2:8" ht="15.75" customHeight="1" x14ac:dyDescent="0.15">
      <c r="B866" s="11"/>
      <c r="C866" s="11"/>
      <c r="D866" s="12"/>
      <c r="E866" s="12"/>
      <c r="F866" s="11"/>
      <c r="G866" s="11"/>
      <c r="H866" s="11"/>
    </row>
    <row r="867" spans="2:8" ht="15.75" customHeight="1" x14ac:dyDescent="0.15">
      <c r="B867" s="11"/>
      <c r="C867" s="11"/>
      <c r="D867" s="12"/>
      <c r="E867" s="12"/>
      <c r="F867" s="11"/>
      <c r="G867" s="11"/>
      <c r="H867" s="11"/>
    </row>
    <row r="868" spans="2:8" ht="15.75" customHeight="1" x14ac:dyDescent="0.15">
      <c r="B868" s="11"/>
      <c r="C868" s="11"/>
      <c r="D868" s="12"/>
      <c r="E868" s="12"/>
      <c r="F868" s="11"/>
      <c r="G868" s="11"/>
      <c r="H868" s="11"/>
    </row>
    <row r="869" spans="2:8" ht="15.75" customHeight="1" x14ac:dyDescent="0.15">
      <c r="B869" s="11"/>
      <c r="C869" s="11"/>
      <c r="D869" s="12"/>
      <c r="E869" s="12"/>
      <c r="F869" s="11"/>
      <c r="G869" s="11"/>
      <c r="H869" s="11"/>
    </row>
    <row r="870" spans="2:8" ht="15.75" customHeight="1" x14ac:dyDescent="0.15">
      <c r="B870" s="11"/>
      <c r="C870" s="11"/>
      <c r="D870" s="12"/>
      <c r="E870" s="12"/>
      <c r="F870" s="11"/>
      <c r="G870" s="11"/>
      <c r="H870" s="11"/>
    </row>
    <row r="871" spans="2:8" ht="15.75" customHeight="1" x14ac:dyDescent="0.15">
      <c r="B871" s="11"/>
      <c r="C871" s="11"/>
      <c r="D871" s="12"/>
      <c r="E871" s="12"/>
      <c r="F871" s="11"/>
      <c r="G871" s="11"/>
      <c r="H871" s="11"/>
    </row>
    <row r="872" spans="2:8" ht="15.75" customHeight="1" x14ac:dyDescent="0.15">
      <c r="B872" s="11"/>
      <c r="C872" s="11"/>
      <c r="D872" s="12"/>
      <c r="E872" s="12"/>
      <c r="F872" s="11"/>
      <c r="G872" s="11"/>
      <c r="H872" s="11"/>
    </row>
    <row r="873" spans="2:8" ht="15.75" customHeight="1" x14ac:dyDescent="0.15">
      <c r="B873" s="11"/>
      <c r="C873" s="11"/>
      <c r="D873" s="12"/>
      <c r="E873" s="12"/>
      <c r="F873" s="11"/>
      <c r="G873" s="11"/>
      <c r="H873" s="11"/>
    </row>
    <row r="874" spans="2:8" ht="15.75" customHeight="1" x14ac:dyDescent="0.15">
      <c r="B874" s="11"/>
      <c r="C874" s="11"/>
      <c r="D874" s="12"/>
      <c r="E874" s="12"/>
      <c r="F874" s="11"/>
      <c r="G874" s="11"/>
      <c r="H874" s="11"/>
    </row>
    <row r="875" spans="2:8" ht="15.75" customHeight="1" x14ac:dyDescent="0.15">
      <c r="B875" s="11"/>
      <c r="C875" s="11"/>
      <c r="D875" s="12"/>
      <c r="E875" s="12"/>
      <c r="F875" s="11"/>
      <c r="G875" s="11"/>
      <c r="H875" s="11"/>
    </row>
    <row r="876" spans="2:8" ht="15.75" customHeight="1" x14ac:dyDescent="0.15">
      <c r="B876" s="11"/>
      <c r="C876" s="11"/>
      <c r="D876" s="12"/>
      <c r="E876" s="12"/>
      <c r="F876" s="11"/>
      <c r="G876" s="11"/>
      <c r="H876" s="11"/>
    </row>
    <row r="877" spans="2:8" ht="15.75" customHeight="1" x14ac:dyDescent="0.15">
      <c r="B877" s="11"/>
      <c r="C877" s="11"/>
      <c r="D877" s="12"/>
      <c r="E877" s="12"/>
      <c r="F877" s="11"/>
      <c r="G877" s="11"/>
      <c r="H877" s="11"/>
    </row>
    <row r="878" spans="2:8" ht="15.75" customHeight="1" x14ac:dyDescent="0.15">
      <c r="B878" s="11"/>
      <c r="C878" s="11"/>
      <c r="D878" s="12"/>
      <c r="E878" s="12"/>
      <c r="F878" s="11"/>
      <c r="G878" s="11"/>
      <c r="H878" s="11"/>
    </row>
    <row r="879" spans="2:8" ht="15.75" customHeight="1" x14ac:dyDescent="0.15">
      <c r="B879" s="11"/>
      <c r="C879" s="11"/>
      <c r="D879" s="12"/>
      <c r="E879" s="12"/>
      <c r="F879" s="11"/>
      <c r="G879" s="11"/>
      <c r="H879" s="11"/>
    </row>
    <row r="880" spans="2:8" ht="15.75" customHeight="1" x14ac:dyDescent="0.15">
      <c r="B880" s="11"/>
      <c r="C880" s="11"/>
      <c r="D880" s="12"/>
      <c r="E880" s="12"/>
      <c r="F880" s="11"/>
      <c r="G880" s="11"/>
      <c r="H880" s="11"/>
    </row>
    <row r="881" spans="2:8" ht="15.75" customHeight="1" x14ac:dyDescent="0.15">
      <c r="B881" s="11"/>
      <c r="C881" s="11"/>
      <c r="D881" s="12"/>
      <c r="E881" s="12"/>
      <c r="F881" s="11"/>
      <c r="G881" s="11"/>
      <c r="H881" s="11"/>
    </row>
    <row r="882" spans="2:8" ht="15.75" customHeight="1" x14ac:dyDescent="0.15">
      <c r="B882" s="11"/>
      <c r="C882" s="11"/>
      <c r="D882" s="12"/>
      <c r="E882" s="12"/>
      <c r="F882" s="11"/>
      <c r="G882" s="11"/>
      <c r="H882" s="11"/>
    </row>
    <row r="883" spans="2:8" ht="15.75" customHeight="1" x14ac:dyDescent="0.15">
      <c r="B883" s="11"/>
      <c r="C883" s="11"/>
      <c r="D883" s="12"/>
      <c r="E883" s="12"/>
      <c r="F883" s="11"/>
      <c r="G883" s="11"/>
      <c r="H883" s="11"/>
    </row>
    <row r="884" spans="2:8" ht="15.75" customHeight="1" x14ac:dyDescent="0.15">
      <c r="B884" s="11"/>
      <c r="C884" s="11"/>
      <c r="D884" s="12"/>
      <c r="E884" s="12"/>
      <c r="F884" s="11"/>
      <c r="G884" s="11"/>
      <c r="H884" s="11"/>
    </row>
    <row r="885" spans="2:8" ht="15.75" customHeight="1" x14ac:dyDescent="0.15">
      <c r="B885" s="11"/>
      <c r="C885" s="11"/>
      <c r="D885" s="12"/>
      <c r="E885" s="12"/>
      <c r="F885" s="11"/>
      <c r="G885" s="11"/>
      <c r="H885" s="11"/>
    </row>
    <row r="886" spans="2:8" ht="15.75" customHeight="1" x14ac:dyDescent="0.15">
      <c r="B886" s="11"/>
      <c r="C886" s="11"/>
      <c r="D886" s="12"/>
      <c r="E886" s="12"/>
      <c r="F886" s="11"/>
      <c r="G886" s="11"/>
      <c r="H886" s="11"/>
    </row>
    <row r="887" spans="2:8" ht="15.75" customHeight="1" x14ac:dyDescent="0.15">
      <c r="B887" s="11"/>
      <c r="C887" s="11"/>
      <c r="D887" s="12"/>
      <c r="E887" s="12"/>
      <c r="F887" s="11"/>
      <c r="G887" s="11"/>
      <c r="H887" s="11"/>
    </row>
    <row r="888" spans="2:8" ht="15.75" customHeight="1" x14ac:dyDescent="0.15">
      <c r="B888" s="11"/>
      <c r="C888" s="11"/>
      <c r="D888" s="12"/>
      <c r="E888" s="12"/>
      <c r="F888" s="11"/>
      <c r="G888" s="11"/>
      <c r="H888" s="11"/>
    </row>
    <row r="889" spans="2:8" ht="15.75" customHeight="1" x14ac:dyDescent="0.15">
      <c r="B889" s="11"/>
      <c r="C889" s="11"/>
      <c r="D889" s="12"/>
      <c r="E889" s="12"/>
      <c r="F889" s="11"/>
      <c r="G889" s="11"/>
      <c r="H889" s="11"/>
    </row>
    <row r="890" spans="2:8" ht="15.75" customHeight="1" x14ac:dyDescent="0.15">
      <c r="B890" s="11"/>
      <c r="C890" s="11"/>
      <c r="D890" s="12"/>
      <c r="E890" s="12"/>
      <c r="F890" s="11"/>
      <c r="G890" s="11"/>
      <c r="H890" s="11"/>
    </row>
    <row r="891" spans="2:8" ht="15.75" customHeight="1" x14ac:dyDescent="0.15">
      <c r="B891" s="11"/>
      <c r="C891" s="11"/>
      <c r="D891" s="12"/>
      <c r="E891" s="12"/>
      <c r="F891" s="11"/>
      <c r="G891" s="11"/>
      <c r="H891" s="11"/>
    </row>
    <row r="892" spans="2:8" ht="15.75" customHeight="1" x14ac:dyDescent="0.15">
      <c r="B892" s="11"/>
      <c r="C892" s="11"/>
      <c r="D892" s="12"/>
      <c r="E892" s="12"/>
      <c r="F892" s="11"/>
      <c r="G892" s="11"/>
      <c r="H892" s="11"/>
    </row>
    <row r="893" spans="2:8" ht="15.75" customHeight="1" x14ac:dyDescent="0.15">
      <c r="B893" s="11"/>
      <c r="C893" s="11"/>
      <c r="D893" s="12"/>
      <c r="E893" s="12"/>
      <c r="F893" s="11"/>
      <c r="G893" s="11"/>
      <c r="H893" s="11"/>
    </row>
    <row r="894" spans="2:8" ht="15.75" customHeight="1" x14ac:dyDescent="0.15">
      <c r="B894" s="11"/>
      <c r="C894" s="11"/>
      <c r="D894" s="12"/>
      <c r="E894" s="12"/>
      <c r="F894" s="11"/>
      <c r="G894" s="11"/>
      <c r="H894" s="11"/>
    </row>
    <row r="895" spans="2:8" ht="15.75" customHeight="1" x14ac:dyDescent="0.15">
      <c r="B895" s="11"/>
      <c r="C895" s="11"/>
      <c r="D895" s="12"/>
      <c r="E895" s="12"/>
      <c r="F895" s="11"/>
      <c r="G895" s="11"/>
      <c r="H895" s="11"/>
    </row>
    <row r="896" spans="2:8" ht="15.75" customHeight="1" x14ac:dyDescent="0.15">
      <c r="B896" s="11"/>
      <c r="C896" s="11"/>
      <c r="D896" s="12"/>
      <c r="E896" s="12"/>
      <c r="F896" s="11"/>
      <c r="G896" s="11"/>
      <c r="H896" s="11"/>
    </row>
    <row r="897" spans="2:8" ht="15.75" customHeight="1" x14ac:dyDescent="0.15">
      <c r="B897" s="11"/>
      <c r="C897" s="11"/>
      <c r="D897" s="12"/>
      <c r="E897" s="12"/>
      <c r="F897" s="11"/>
      <c r="G897" s="11"/>
      <c r="H897" s="11"/>
    </row>
    <row r="898" spans="2:8" ht="15.75" customHeight="1" x14ac:dyDescent="0.15">
      <c r="B898" s="11"/>
      <c r="C898" s="11"/>
      <c r="D898" s="12"/>
      <c r="E898" s="12"/>
      <c r="F898" s="11"/>
      <c r="G898" s="11"/>
      <c r="H898" s="11"/>
    </row>
    <row r="899" spans="2:8" ht="15.75" customHeight="1" x14ac:dyDescent="0.15">
      <c r="B899" s="11"/>
      <c r="C899" s="11"/>
      <c r="D899" s="12"/>
      <c r="E899" s="12"/>
      <c r="F899" s="11"/>
      <c r="G899" s="11"/>
      <c r="H899" s="11"/>
    </row>
    <row r="900" spans="2:8" ht="15.75" customHeight="1" x14ac:dyDescent="0.15">
      <c r="B900" s="11"/>
      <c r="C900" s="11"/>
      <c r="D900" s="12"/>
      <c r="E900" s="12"/>
      <c r="F900" s="11"/>
      <c r="G900" s="11"/>
      <c r="H900" s="11"/>
    </row>
    <row r="901" spans="2:8" ht="15.75" customHeight="1" x14ac:dyDescent="0.15">
      <c r="B901" s="11"/>
      <c r="C901" s="11"/>
      <c r="D901" s="12"/>
      <c r="E901" s="12"/>
      <c r="F901" s="11"/>
      <c r="G901" s="11"/>
      <c r="H901" s="11"/>
    </row>
    <row r="902" spans="2:8" ht="15.75" customHeight="1" x14ac:dyDescent="0.15">
      <c r="B902" s="11"/>
      <c r="C902" s="11"/>
      <c r="D902" s="12"/>
      <c r="E902" s="12"/>
      <c r="F902" s="11"/>
      <c r="G902" s="11"/>
      <c r="H902" s="11"/>
    </row>
    <row r="903" spans="2:8" ht="15.75" customHeight="1" x14ac:dyDescent="0.15">
      <c r="B903" s="11"/>
      <c r="C903" s="11"/>
      <c r="D903" s="12"/>
      <c r="E903" s="12"/>
      <c r="F903" s="11"/>
      <c r="G903" s="11"/>
      <c r="H903" s="11"/>
    </row>
    <row r="904" spans="2:8" ht="15.75" customHeight="1" x14ac:dyDescent="0.15">
      <c r="B904" s="11"/>
      <c r="C904" s="11"/>
      <c r="D904" s="12"/>
      <c r="E904" s="12"/>
      <c r="F904" s="11"/>
      <c r="G904" s="11"/>
      <c r="H904" s="11"/>
    </row>
    <row r="905" spans="2:8" ht="15.75" customHeight="1" x14ac:dyDescent="0.15">
      <c r="B905" s="11"/>
      <c r="C905" s="11"/>
      <c r="D905" s="12"/>
      <c r="E905" s="12"/>
      <c r="F905" s="11"/>
      <c r="G905" s="11"/>
      <c r="H905" s="11"/>
    </row>
    <row r="906" spans="2:8" ht="15.75" customHeight="1" x14ac:dyDescent="0.15">
      <c r="B906" s="11"/>
      <c r="C906" s="11"/>
      <c r="D906" s="12"/>
      <c r="E906" s="12"/>
      <c r="F906" s="11"/>
      <c r="G906" s="11"/>
      <c r="H906" s="11"/>
    </row>
    <row r="907" spans="2:8" ht="15.75" customHeight="1" x14ac:dyDescent="0.15">
      <c r="B907" s="11"/>
      <c r="C907" s="11"/>
      <c r="D907" s="12"/>
      <c r="E907" s="12"/>
      <c r="F907" s="11"/>
      <c r="G907" s="11"/>
      <c r="H907" s="11"/>
    </row>
    <row r="908" spans="2:8" ht="15.75" customHeight="1" x14ac:dyDescent="0.15">
      <c r="B908" s="11"/>
      <c r="C908" s="11"/>
      <c r="D908" s="12"/>
      <c r="E908" s="12"/>
      <c r="F908" s="11"/>
      <c r="G908" s="11"/>
      <c r="H908" s="11"/>
    </row>
    <row r="909" spans="2:8" ht="15.75" customHeight="1" x14ac:dyDescent="0.15">
      <c r="B909" s="11"/>
      <c r="C909" s="11"/>
      <c r="D909" s="12"/>
      <c r="E909" s="12"/>
      <c r="F909" s="11"/>
      <c r="G909" s="11"/>
      <c r="H909" s="11"/>
    </row>
    <row r="910" spans="2:8" ht="15.75" customHeight="1" x14ac:dyDescent="0.15">
      <c r="B910" s="11"/>
      <c r="C910" s="11"/>
      <c r="D910" s="12"/>
      <c r="E910" s="12"/>
      <c r="F910" s="11"/>
      <c r="G910" s="11"/>
      <c r="H910" s="11"/>
    </row>
    <row r="911" spans="2:8" ht="15.75" customHeight="1" x14ac:dyDescent="0.15">
      <c r="B911" s="11"/>
      <c r="C911" s="11"/>
      <c r="D911" s="12"/>
      <c r="E911" s="12"/>
      <c r="F911" s="11"/>
      <c r="G911" s="11"/>
      <c r="H911" s="11"/>
    </row>
    <row r="912" spans="2:8" ht="15.75" customHeight="1" x14ac:dyDescent="0.15">
      <c r="B912" s="11"/>
      <c r="C912" s="11"/>
      <c r="D912" s="12"/>
      <c r="E912" s="12"/>
      <c r="F912" s="11"/>
      <c r="G912" s="11"/>
      <c r="H912" s="11"/>
    </row>
    <row r="913" spans="2:8" ht="15.75" customHeight="1" x14ac:dyDescent="0.15">
      <c r="B913" s="11"/>
      <c r="C913" s="11"/>
      <c r="D913" s="12"/>
      <c r="E913" s="12"/>
      <c r="F913" s="11"/>
      <c r="G913" s="11"/>
      <c r="H913" s="11"/>
    </row>
    <row r="914" spans="2:8" ht="15.75" customHeight="1" x14ac:dyDescent="0.15">
      <c r="B914" s="11"/>
      <c r="C914" s="11"/>
      <c r="D914" s="12"/>
      <c r="E914" s="12"/>
      <c r="F914" s="11"/>
      <c r="G914" s="11"/>
      <c r="H914" s="11"/>
    </row>
    <row r="915" spans="2:8" ht="15.75" customHeight="1" x14ac:dyDescent="0.15">
      <c r="B915" s="11"/>
      <c r="C915" s="11"/>
      <c r="D915" s="12"/>
      <c r="E915" s="12"/>
      <c r="F915" s="11"/>
      <c r="G915" s="11"/>
      <c r="H915" s="11"/>
    </row>
    <row r="916" spans="2:8" ht="15.75" customHeight="1" x14ac:dyDescent="0.15">
      <c r="B916" s="11"/>
      <c r="C916" s="11"/>
      <c r="D916" s="12"/>
      <c r="E916" s="12"/>
      <c r="F916" s="11"/>
      <c r="G916" s="11"/>
      <c r="H916" s="11"/>
    </row>
    <row r="917" spans="2:8" ht="15.75" customHeight="1" x14ac:dyDescent="0.15">
      <c r="B917" s="11"/>
      <c r="C917" s="11"/>
      <c r="D917" s="12"/>
      <c r="E917" s="12"/>
      <c r="F917" s="11"/>
      <c r="G917" s="11"/>
      <c r="H917" s="11"/>
    </row>
    <row r="918" spans="2:8" ht="15.75" customHeight="1" x14ac:dyDescent="0.15">
      <c r="B918" s="11"/>
      <c r="C918" s="11"/>
      <c r="D918" s="12"/>
      <c r="E918" s="12"/>
      <c r="F918" s="11"/>
      <c r="G918" s="11"/>
      <c r="H918" s="11"/>
    </row>
    <row r="919" spans="2:8" ht="15.75" customHeight="1" x14ac:dyDescent="0.15">
      <c r="B919" s="11"/>
      <c r="C919" s="11"/>
      <c r="D919" s="12"/>
      <c r="E919" s="12"/>
      <c r="F919" s="11"/>
      <c r="G919" s="11"/>
      <c r="H919" s="11"/>
    </row>
    <row r="920" spans="2:8" ht="15.75" customHeight="1" x14ac:dyDescent="0.15">
      <c r="B920" s="11"/>
      <c r="C920" s="11"/>
      <c r="D920" s="12"/>
      <c r="E920" s="12"/>
      <c r="F920" s="11"/>
      <c r="G920" s="11"/>
      <c r="H920" s="11"/>
    </row>
    <row r="921" spans="2:8" ht="15.75" customHeight="1" x14ac:dyDescent="0.15">
      <c r="B921" s="11"/>
      <c r="C921" s="11"/>
      <c r="D921" s="12"/>
      <c r="E921" s="12"/>
      <c r="F921" s="11"/>
      <c r="G921" s="11"/>
      <c r="H921" s="11"/>
    </row>
    <row r="922" spans="2:8" ht="15.75" customHeight="1" x14ac:dyDescent="0.15">
      <c r="B922" s="11"/>
      <c r="C922" s="11"/>
      <c r="D922" s="12"/>
      <c r="E922" s="12"/>
      <c r="F922" s="11"/>
      <c r="G922" s="11"/>
      <c r="H922" s="11"/>
    </row>
    <row r="923" spans="2:8" ht="15.75" customHeight="1" x14ac:dyDescent="0.15">
      <c r="B923" s="11"/>
      <c r="C923" s="11"/>
      <c r="D923" s="12"/>
      <c r="E923" s="12"/>
      <c r="F923" s="11"/>
      <c r="G923" s="11"/>
      <c r="H923" s="11"/>
    </row>
    <row r="924" spans="2:8" ht="15.75" customHeight="1" x14ac:dyDescent="0.15">
      <c r="B924" s="11"/>
      <c r="C924" s="11"/>
      <c r="D924" s="12"/>
      <c r="E924" s="12"/>
      <c r="F924" s="11"/>
      <c r="G924" s="11"/>
      <c r="H924" s="11"/>
    </row>
    <row r="925" spans="2:8" ht="15.75" customHeight="1" x14ac:dyDescent="0.15">
      <c r="B925" s="11"/>
      <c r="C925" s="11"/>
      <c r="D925" s="12"/>
      <c r="E925" s="12"/>
      <c r="F925" s="11"/>
      <c r="G925" s="11"/>
      <c r="H925" s="11"/>
    </row>
    <row r="926" spans="2:8" ht="15.75" customHeight="1" x14ac:dyDescent="0.15">
      <c r="B926" s="11"/>
      <c r="C926" s="11"/>
      <c r="D926" s="12"/>
      <c r="E926" s="12"/>
      <c r="F926" s="11"/>
      <c r="G926" s="11"/>
      <c r="H926" s="11"/>
    </row>
    <row r="927" spans="2:8" ht="15.75" customHeight="1" x14ac:dyDescent="0.15">
      <c r="B927" s="11"/>
      <c r="C927" s="11"/>
      <c r="D927" s="12"/>
      <c r="E927" s="12"/>
      <c r="F927" s="11"/>
      <c r="G927" s="11"/>
      <c r="H927" s="11"/>
    </row>
    <row r="928" spans="2:8" ht="15.75" customHeight="1" x14ac:dyDescent="0.15">
      <c r="B928" s="11"/>
      <c r="C928" s="11"/>
      <c r="D928" s="12"/>
      <c r="E928" s="12"/>
      <c r="F928" s="11"/>
      <c r="G928" s="11"/>
      <c r="H928" s="11"/>
    </row>
    <row r="929" spans="2:8" ht="15.75" customHeight="1" x14ac:dyDescent="0.15">
      <c r="B929" s="11"/>
      <c r="C929" s="11"/>
      <c r="D929" s="12"/>
      <c r="E929" s="12"/>
      <c r="F929" s="11"/>
      <c r="G929" s="11"/>
      <c r="H929" s="11"/>
    </row>
    <row r="930" spans="2:8" ht="15.75" customHeight="1" x14ac:dyDescent="0.15">
      <c r="B930" s="11"/>
      <c r="C930" s="11"/>
      <c r="D930" s="12"/>
      <c r="E930" s="12"/>
      <c r="F930" s="11"/>
      <c r="G930" s="11"/>
      <c r="H930" s="11"/>
    </row>
    <row r="931" spans="2:8" ht="15.75" customHeight="1" x14ac:dyDescent="0.15">
      <c r="B931" s="11"/>
      <c r="C931" s="11"/>
      <c r="D931" s="12"/>
      <c r="E931" s="12"/>
      <c r="F931" s="11"/>
      <c r="G931" s="11"/>
      <c r="H931" s="11"/>
    </row>
    <row r="932" spans="2:8" ht="15.75" customHeight="1" x14ac:dyDescent="0.15">
      <c r="B932" s="11"/>
      <c r="C932" s="11"/>
      <c r="D932" s="12"/>
      <c r="E932" s="12"/>
      <c r="F932" s="11"/>
      <c r="G932" s="11"/>
      <c r="H932" s="11"/>
    </row>
    <row r="933" spans="2:8" ht="15.75" customHeight="1" x14ac:dyDescent="0.15">
      <c r="B933" s="11"/>
      <c r="C933" s="11"/>
      <c r="D933" s="12"/>
      <c r="E933" s="12"/>
      <c r="F933" s="11"/>
      <c r="G933" s="11"/>
      <c r="H933" s="11"/>
    </row>
    <row r="934" spans="2:8" ht="15.75" customHeight="1" x14ac:dyDescent="0.15">
      <c r="B934" s="11"/>
      <c r="C934" s="11"/>
      <c r="D934" s="12"/>
      <c r="E934" s="12"/>
      <c r="F934" s="11"/>
      <c r="G934" s="11"/>
      <c r="H934" s="11"/>
    </row>
    <row r="935" spans="2:8" ht="15.75" customHeight="1" x14ac:dyDescent="0.15">
      <c r="B935" s="11"/>
      <c r="C935" s="11"/>
      <c r="D935" s="12"/>
      <c r="E935" s="12"/>
      <c r="F935" s="11"/>
      <c r="G935" s="11"/>
      <c r="H935" s="11"/>
    </row>
    <row r="936" spans="2:8" ht="15.75" customHeight="1" x14ac:dyDescent="0.15">
      <c r="B936" s="11"/>
      <c r="C936" s="11"/>
      <c r="D936" s="12"/>
      <c r="E936" s="12"/>
      <c r="F936" s="11"/>
      <c r="G936" s="11"/>
      <c r="H936" s="11"/>
    </row>
    <row r="937" spans="2:8" ht="15.75" customHeight="1" x14ac:dyDescent="0.15">
      <c r="B937" s="11"/>
      <c r="C937" s="11"/>
      <c r="D937" s="12"/>
      <c r="E937" s="12"/>
      <c r="F937" s="11"/>
      <c r="G937" s="11"/>
      <c r="H937" s="11"/>
    </row>
    <row r="938" spans="2:8" ht="15.75" customHeight="1" x14ac:dyDescent="0.15">
      <c r="B938" s="11"/>
      <c r="C938" s="11"/>
      <c r="D938" s="12"/>
      <c r="E938" s="12"/>
      <c r="F938" s="11"/>
      <c r="G938" s="11"/>
      <c r="H938" s="11"/>
    </row>
    <row r="939" spans="2:8" ht="15.75" customHeight="1" x14ac:dyDescent="0.15">
      <c r="B939" s="11"/>
      <c r="C939" s="11"/>
      <c r="D939" s="12"/>
      <c r="E939" s="12"/>
      <c r="F939" s="11"/>
      <c r="G939" s="11"/>
      <c r="H939" s="11"/>
    </row>
    <row r="940" spans="2:8" ht="15.75" customHeight="1" x14ac:dyDescent="0.15">
      <c r="B940" s="11"/>
      <c r="C940" s="11"/>
      <c r="D940" s="12"/>
      <c r="E940" s="12"/>
      <c r="F940" s="11"/>
      <c r="G940" s="11"/>
      <c r="H940" s="11"/>
    </row>
    <row r="941" spans="2:8" ht="15.75" customHeight="1" x14ac:dyDescent="0.15">
      <c r="B941" s="11"/>
      <c r="C941" s="11"/>
      <c r="D941" s="12"/>
      <c r="E941" s="12"/>
      <c r="F941" s="11"/>
      <c r="G941" s="11"/>
      <c r="H941" s="11"/>
    </row>
    <row r="942" spans="2:8" ht="15.75" customHeight="1" x14ac:dyDescent="0.15">
      <c r="B942" s="11"/>
      <c r="C942" s="11"/>
      <c r="D942" s="12"/>
      <c r="E942" s="12"/>
      <c r="F942" s="11"/>
      <c r="G942" s="11"/>
      <c r="H942" s="11"/>
    </row>
    <row r="943" spans="2:8" ht="15.75" customHeight="1" x14ac:dyDescent="0.15">
      <c r="B943" s="11"/>
      <c r="C943" s="11"/>
      <c r="D943" s="12"/>
      <c r="E943" s="12"/>
      <c r="F943" s="11"/>
      <c r="G943" s="11"/>
      <c r="H943" s="11"/>
    </row>
    <row r="944" spans="2:8" ht="15.75" customHeight="1" x14ac:dyDescent="0.15">
      <c r="B944" s="11"/>
      <c r="C944" s="11"/>
      <c r="D944" s="12"/>
      <c r="E944" s="12"/>
      <c r="F944" s="11"/>
      <c r="G944" s="11"/>
      <c r="H944" s="11"/>
    </row>
    <row r="945" spans="2:8" ht="15.75" customHeight="1" x14ac:dyDescent="0.15">
      <c r="B945" s="11"/>
      <c r="C945" s="11"/>
      <c r="D945" s="12"/>
      <c r="E945" s="12"/>
      <c r="F945" s="11"/>
      <c r="G945" s="11"/>
      <c r="H945" s="11"/>
    </row>
    <row r="946" spans="2:8" ht="15.75" customHeight="1" x14ac:dyDescent="0.15">
      <c r="B946" s="11"/>
      <c r="C946" s="11"/>
      <c r="D946" s="12"/>
      <c r="E946" s="12"/>
      <c r="F946" s="11"/>
      <c r="G946" s="11"/>
      <c r="H946" s="11"/>
    </row>
    <row r="947" spans="2:8" ht="15.75" customHeight="1" x14ac:dyDescent="0.15">
      <c r="B947" s="11"/>
      <c r="C947" s="11"/>
      <c r="D947" s="12"/>
      <c r="E947" s="12"/>
      <c r="F947" s="11"/>
      <c r="G947" s="11"/>
      <c r="H947" s="11"/>
    </row>
    <row r="948" spans="2:8" ht="15.75" customHeight="1" x14ac:dyDescent="0.15">
      <c r="B948" s="11"/>
      <c r="C948" s="11"/>
      <c r="D948" s="12"/>
      <c r="E948" s="12"/>
      <c r="F948" s="11"/>
      <c r="G948" s="11"/>
      <c r="H948" s="11"/>
    </row>
    <row r="949" spans="2:8" ht="15.75" customHeight="1" x14ac:dyDescent="0.15">
      <c r="B949" s="11"/>
      <c r="C949" s="11"/>
      <c r="D949" s="12"/>
      <c r="E949" s="12"/>
      <c r="F949" s="11"/>
      <c r="G949" s="11"/>
      <c r="H949" s="11"/>
    </row>
    <row r="950" spans="2:8" ht="15.75" customHeight="1" x14ac:dyDescent="0.15">
      <c r="B950" s="11"/>
      <c r="C950" s="11"/>
      <c r="D950" s="12"/>
      <c r="E950" s="12"/>
      <c r="F950" s="11"/>
      <c r="G950" s="11"/>
      <c r="H950" s="11"/>
    </row>
    <row r="951" spans="2:8" ht="15.75" customHeight="1" x14ac:dyDescent="0.15">
      <c r="B951" s="11"/>
      <c r="C951" s="11"/>
      <c r="D951" s="12"/>
      <c r="E951" s="12"/>
      <c r="F951" s="11"/>
      <c r="G951" s="11"/>
      <c r="H951" s="11"/>
    </row>
    <row r="952" spans="2:8" ht="15.75" customHeight="1" x14ac:dyDescent="0.15">
      <c r="B952" s="11"/>
      <c r="C952" s="11"/>
      <c r="D952" s="12"/>
      <c r="E952" s="12"/>
      <c r="F952" s="11"/>
      <c r="G952" s="11"/>
      <c r="H952" s="11"/>
    </row>
    <row r="953" spans="2:8" ht="15.75" customHeight="1" x14ac:dyDescent="0.15">
      <c r="B953" s="11"/>
      <c r="C953" s="11"/>
      <c r="D953" s="12"/>
      <c r="E953" s="12"/>
      <c r="F953" s="11"/>
      <c r="G953" s="11"/>
      <c r="H953" s="11"/>
    </row>
    <row r="954" spans="2:8" ht="15.75" customHeight="1" x14ac:dyDescent="0.15">
      <c r="B954" s="11"/>
      <c r="C954" s="11"/>
      <c r="D954" s="12"/>
      <c r="E954" s="12"/>
      <c r="F954" s="11"/>
      <c r="G954" s="11"/>
      <c r="H954" s="11"/>
    </row>
    <row r="955" spans="2:8" ht="15.75" customHeight="1" x14ac:dyDescent="0.15">
      <c r="B955" s="11"/>
      <c r="C955" s="11"/>
      <c r="D955" s="12"/>
      <c r="E955" s="12"/>
      <c r="F955" s="11"/>
      <c r="G955" s="11"/>
      <c r="H955" s="11"/>
    </row>
    <row r="956" spans="2:8" ht="15.75" customHeight="1" x14ac:dyDescent="0.15">
      <c r="B956" s="11"/>
      <c r="C956" s="11"/>
      <c r="D956" s="12"/>
      <c r="E956" s="12"/>
      <c r="F956" s="11"/>
      <c r="G956" s="11"/>
      <c r="H956" s="11"/>
    </row>
    <row r="957" spans="2:8" ht="15.75" customHeight="1" x14ac:dyDescent="0.15">
      <c r="B957" s="11"/>
      <c r="C957" s="11"/>
      <c r="D957" s="12"/>
      <c r="E957" s="12"/>
      <c r="F957" s="11"/>
      <c r="G957" s="11"/>
      <c r="H957" s="11"/>
    </row>
    <row r="958" spans="2:8" ht="15.75" customHeight="1" x14ac:dyDescent="0.15">
      <c r="B958" s="11"/>
      <c r="C958" s="11"/>
      <c r="D958" s="12"/>
      <c r="E958" s="12"/>
      <c r="F958" s="11"/>
      <c r="G958" s="11"/>
      <c r="H958" s="11"/>
    </row>
    <row r="959" spans="2:8" ht="15.75" customHeight="1" x14ac:dyDescent="0.15">
      <c r="B959" s="11"/>
      <c r="C959" s="11"/>
      <c r="D959" s="12"/>
      <c r="E959" s="12"/>
      <c r="F959" s="11"/>
      <c r="G959" s="11"/>
      <c r="H959" s="11"/>
    </row>
    <row r="960" spans="2:8" ht="15.75" customHeight="1" x14ac:dyDescent="0.15">
      <c r="B960" s="11"/>
      <c r="C960" s="11"/>
      <c r="D960" s="12"/>
      <c r="E960" s="12"/>
      <c r="F960" s="11"/>
      <c r="G960" s="11"/>
      <c r="H960" s="11"/>
    </row>
    <row r="961" spans="2:8" ht="15.75" customHeight="1" x14ac:dyDescent="0.15">
      <c r="B961" s="11"/>
      <c r="C961" s="11"/>
      <c r="D961" s="12"/>
      <c r="E961" s="12"/>
      <c r="F961" s="11"/>
      <c r="G961" s="11"/>
      <c r="H961" s="11"/>
    </row>
    <row r="962" spans="2:8" ht="15.75" customHeight="1" x14ac:dyDescent="0.15">
      <c r="B962" s="11"/>
      <c r="C962" s="11"/>
      <c r="D962" s="12"/>
      <c r="E962" s="12"/>
      <c r="F962" s="11"/>
      <c r="G962" s="11"/>
      <c r="H962" s="11"/>
    </row>
    <row r="963" spans="2:8" ht="15.75" customHeight="1" x14ac:dyDescent="0.15">
      <c r="B963" s="11"/>
      <c r="C963" s="11"/>
      <c r="D963" s="12"/>
      <c r="E963" s="12"/>
      <c r="F963" s="11"/>
      <c r="G963" s="11"/>
      <c r="H963" s="11"/>
    </row>
    <row r="964" spans="2:8" ht="15.75" customHeight="1" x14ac:dyDescent="0.15">
      <c r="B964" s="11"/>
      <c r="C964" s="11"/>
      <c r="D964" s="12"/>
      <c r="E964" s="12"/>
      <c r="F964" s="11"/>
      <c r="G964" s="11"/>
      <c r="H964" s="11"/>
    </row>
    <row r="965" spans="2:8" ht="15.75" customHeight="1" x14ac:dyDescent="0.15">
      <c r="B965" s="11"/>
      <c r="C965" s="11"/>
      <c r="D965" s="12"/>
      <c r="E965" s="12"/>
      <c r="F965" s="11"/>
      <c r="G965" s="11"/>
      <c r="H965" s="11"/>
    </row>
    <row r="966" spans="2:8" ht="15.75" customHeight="1" x14ac:dyDescent="0.15">
      <c r="B966" s="11"/>
      <c r="C966" s="11"/>
      <c r="D966" s="12"/>
      <c r="E966" s="12"/>
      <c r="F966" s="11"/>
      <c r="G966" s="11"/>
      <c r="H966" s="11"/>
    </row>
    <row r="967" spans="2:8" ht="15.75" customHeight="1" x14ac:dyDescent="0.15">
      <c r="B967" s="11"/>
      <c r="C967" s="11"/>
      <c r="D967" s="12"/>
      <c r="E967" s="12"/>
      <c r="F967" s="11"/>
      <c r="G967" s="11"/>
      <c r="H967" s="11"/>
    </row>
    <row r="968" spans="2:8" ht="15.75" customHeight="1" x14ac:dyDescent="0.15">
      <c r="B968" s="11"/>
      <c r="C968" s="11"/>
      <c r="D968" s="12"/>
      <c r="E968" s="12"/>
      <c r="F968" s="11"/>
      <c r="G968" s="11"/>
      <c r="H968" s="11"/>
    </row>
    <row r="969" spans="2:8" ht="15.75" customHeight="1" x14ac:dyDescent="0.15">
      <c r="B969" s="11"/>
      <c r="C969" s="11"/>
      <c r="D969" s="12"/>
      <c r="E969" s="12"/>
      <c r="F969" s="11"/>
      <c r="G969" s="11"/>
      <c r="H969" s="11"/>
    </row>
    <row r="970" spans="2:8" ht="15.75" customHeight="1" x14ac:dyDescent="0.15">
      <c r="B970" s="11"/>
      <c r="C970" s="11"/>
      <c r="D970" s="12"/>
      <c r="E970" s="12"/>
      <c r="F970" s="11"/>
      <c r="G970" s="11"/>
      <c r="H970" s="11"/>
    </row>
    <row r="971" spans="2:8" ht="15.75" customHeight="1" x14ac:dyDescent="0.15">
      <c r="B971" s="11"/>
      <c r="C971" s="11"/>
      <c r="D971" s="12"/>
      <c r="E971" s="12"/>
      <c r="F971" s="11"/>
      <c r="G971" s="11"/>
      <c r="H971" s="11"/>
    </row>
    <row r="972" spans="2:8" ht="15.75" customHeight="1" x14ac:dyDescent="0.15">
      <c r="B972" s="11"/>
      <c r="C972" s="11"/>
      <c r="D972" s="12"/>
      <c r="E972" s="12"/>
      <c r="F972" s="11"/>
      <c r="G972" s="11"/>
      <c r="H972" s="11"/>
    </row>
    <row r="973" spans="2:8" ht="15.75" customHeight="1" x14ac:dyDescent="0.15">
      <c r="B973" s="11"/>
      <c r="C973" s="11"/>
      <c r="D973" s="12"/>
      <c r="E973" s="12"/>
      <c r="F973" s="11"/>
      <c r="G973" s="11"/>
      <c r="H973" s="11"/>
    </row>
    <row r="974" spans="2:8" ht="15.75" customHeight="1" x14ac:dyDescent="0.15">
      <c r="B974" s="11"/>
      <c r="C974" s="11"/>
      <c r="D974" s="12"/>
      <c r="E974" s="12"/>
      <c r="F974" s="11"/>
      <c r="G974" s="11"/>
      <c r="H974" s="11"/>
    </row>
    <row r="975" spans="2:8" ht="15.75" customHeight="1" x14ac:dyDescent="0.15">
      <c r="B975" s="11"/>
      <c r="C975" s="11"/>
      <c r="D975" s="12"/>
      <c r="E975" s="12"/>
      <c r="F975" s="11"/>
      <c r="G975" s="11"/>
      <c r="H975" s="11"/>
    </row>
    <row r="976" spans="2:8" ht="15.75" customHeight="1" x14ac:dyDescent="0.15">
      <c r="B976" s="11"/>
      <c r="C976" s="11"/>
      <c r="D976" s="12"/>
      <c r="E976" s="12"/>
      <c r="F976" s="11"/>
      <c r="G976" s="11"/>
      <c r="H976" s="11"/>
    </row>
    <row r="977" spans="2:8" ht="15.75" customHeight="1" x14ac:dyDescent="0.15">
      <c r="B977" s="11"/>
      <c r="C977" s="11"/>
      <c r="D977" s="12"/>
      <c r="E977" s="12"/>
      <c r="F977" s="11"/>
      <c r="G977" s="11"/>
      <c r="H977" s="11"/>
    </row>
    <row r="978" spans="2:8" ht="15.75" customHeight="1" x14ac:dyDescent="0.15">
      <c r="B978" s="11"/>
      <c r="C978" s="11"/>
      <c r="D978" s="12"/>
      <c r="E978" s="12"/>
      <c r="F978" s="11"/>
      <c r="G978" s="11"/>
      <c r="H978" s="11"/>
    </row>
    <row r="979" spans="2:8" ht="15.75" customHeight="1" x14ac:dyDescent="0.15">
      <c r="B979" s="11"/>
      <c r="C979" s="11"/>
      <c r="D979" s="12"/>
      <c r="E979" s="12"/>
      <c r="F979" s="11"/>
      <c r="G979" s="11"/>
      <c r="H979" s="11"/>
    </row>
    <row r="980" spans="2:8" ht="15.75" customHeight="1" x14ac:dyDescent="0.15">
      <c r="B980" s="11"/>
      <c r="C980" s="11"/>
      <c r="D980" s="12"/>
      <c r="E980" s="12"/>
      <c r="F980" s="11"/>
      <c r="G980" s="11"/>
      <c r="H980" s="11"/>
    </row>
    <row r="981" spans="2:8" ht="15.75" customHeight="1" x14ac:dyDescent="0.15">
      <c r="B981" s="11"/>
      <c r="C981" s="11"/>
      <c r="D981" s="12"/>
      <c r="E981" s="12"/>
      <c r="F981" s="11"/>
      <c r="G981" s="11"/>
      <c r="H981" s="11"/>
    </row>
    <row r="982" spans="2:8" ht="15.75" customHeight="1" x14ac:dyDescent="0.15">
      <c r="B982" s="11"/>
      <c r="C982" s="11"/>
      <c r="D982" s="12"/>
      <c r="E982" s="12"/>
      <c r="F982" s="11"/>
      <c r="G982" s="11"/>
      <c r="H982" s="11"/>
    </row>
    <row r="983" spans="2:8" ht="15.75" customHeight="1" x14ac:dyDescent="0.15">
      <c r="B983" s="11"/>
      <c r="C983" s="11"/>
      <c r="D983" s="12"/>
      <c r="E983" s="12"/>
      <c r="F983" s="11"/>
      <c r="G983" s="11"/>
      <c r="H983" s="11"/>
    </row>
    <row r="984" spans="2:8" ht="15.75" customHeight="1" x14ac:dyDescent="0.15">
      <c r="B984" s="11"/>
      <c r="C984" s="11"/>
      <c r="D984" s="12"/>
      <c r="E984" s="12"/>
      <c r="F984" s="11"/>
      <c r="G984" s="11"/>
      <c r="H984" s="11"/>
    </row>
    <row r="985" spans="2:8" ht="15.75" customHeight="1" x14ac:dyDescent="0.15">
      <c r="B985" s="11"/>
      <c r="C985" s="11"/>
      <c r="D985" s="12"/>
      <c r="E985" s="12"/>
      <c r="F985" s="11"/>
      <c r="G985" s="11"/>
      <c r="H985" s="11"/>
    </row>
    <row r="986" spans="2:8" ht="15.75" customHeight="1" x14ac:dyDescent="0.15">
      <c r="B986" s="11"/>
      <c r="C986" s="11"/>
      <c r="D986" s="12"/>
      <c r="E986" s="12"/>
      <c r="F986" s="11"/>
      <c r="G986" s="11"/>
      <c r="H986" s="11"/>
    </row>
    <row r="987" spans="2:8" ht="15.75" customHeight="1" x14ac:dyDescent="0.15">
      <c r="B987" s="11"/>
      <c r="C987" s="11"/>
      <c r="D987" s="12"/>
      <c r="E987" s="12"/>
      <c r="F987" s="11"/>
      <c r="G987" s="11"/>
      <c r="H987" s="11"/>
    </row>
    <row r="988" spans="2:8" ht="15.75" customHeight="1" x14ac:dyDescent="0.15">
      <c r="B988" s="11"/>
      <c r="C988" s="11"/>
      <c r="D988" s="12"/>
      <c r="E988" s="12"/>
      <c r="F988" s="11"/>
      <c r="G988" s="11"/>
      <c r="H988" s="11"/>
    </row>
    <row r="989" spans="2:8" ht="15.75" customHeight="1" x14ac:dyDescent="0.15">
      <c r="B989" s="11"/>
      <c r="C989" s="11"/>
      <c r="D989" s="12"/>
      <c r="E989" s="12"/>
      <c r="F989" s="11"/>
      <c r="G989" s="11"/>
      <c r="H989" s="11"/>
    </row>
    <row r="990" spans="2:8" ht="15.75" customHeight="1" x14ac:dyDescent="0.15">
      <c r="B990" s="11"/>
      <c r="C990" s="11"/>
      <c r="D990" s="12"/>
      <c r="E990" s="12"/>
      <c r="F990" s="11"/>
      <c r="G990" s="11"/>
      <c r="H990" s="11"/>
    </row>
    <row r="991" spans="2:8" ht="15.75" customHeight="1" x14ac:dyDescent="0.15">
      <c r="B991" s="11"/>
      <c r="C991" s="11"/>
      <c r="D991" s="12"/>
      <c r="E991" s="12"/>
      <c r="F991" s="11"/>
      <c r="G991" s="11"/>
      <c r="H991" s="11"/>
    </row>
    <row r="992" spans="2:8" ht="15.75" customHeight="1" x14ac:dyDescent="0.15">
      <c r="B992" s="11"/>
      <c r="C992" s="11"/>
      <c r="D992" s="12"/>
      <c r="E992" s="12"/>
      <c r="F992" s="11"/>
      <c r="G992" s="11"/>
      <c r="H992" s="11"/>
    </row>
    <row r="993" spans="2:8" ht="13" customHeight="1" x14ac:dyDescent="0.15">
      <c r="B993" s="11"/>
      <c r="C993" s="11"/>
      <c r="D993" s="12"/>
      <c r="E993" s="12"/>
      <c r="F993" s="11"/>
      <c r="G993" s="11"/>
      <c r="H993" s="1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5"/>
  <sheetViews>
    <sheetView zoomScale="107" workbookViewId="0">
      <pane xSplit="1" topLeftCell="B1" activePane="topRight" state="frozen"/>
      <selection pane="topRight" activeCell="B22" sqref="B22"/>
    </sheetView>
  </sheetViews>
  <sheetFormatPr baseColWidth="10" defaultColWidth="12.6640625" defaultRowHeight="15" customHeight="1" x14ac:dyDescent="0.15"/>
  <cols>
    <col min="1" max="1" width="45.83203125" style="47" customWidth="1"/>
    <col min="2" max="2" width="45.83203125" customWidth="1"/>
    <col min="3" max="6" width="12.6640625" customWidth="1"/>
    <col min="9" max="9" width="14.6640625" bestFit="1" customWidth="1"/>
    <col min="10" max="10" width="13.6640625" bestFit="1" customWidth="1"/>
  </cols>
  <sheetData>
    <row r="1" spans="1:12" ht="13" customHeight="1" x14ac:dyDescent="0.15">
      <c r="A1" s="57" t="s">
        <v>84</v>
      </c>
      <c r="B1" s="1" t="s">
        <v>85</v>
      </c>
      <c r="C1" s="2" t="s">
        <v>2</v>
      </c>
      <c r="D1" s="3" t="s">
        <v>3</v>
      </c>
      <c r="E1" s="3" t="s">
        <v>4</v>
      </c>
      <c r="F1" s="2" t="s">
        <v>86</v>
      </c>
      <c r="G1" s="2" t="s">
        <v>87</v>
      </c>
      <c r="H1" s="7"/>
      <c r="I1" s="13" t="s">
        <v>88</v>
      </c>
      <c r="J1" s="13" t="s">
        <v>89</v>
      </c>
      <c r="K1" s="7"/>
      <c r="L1" s="7"/>
    </row>
    <row r="2" spans="1:12" ht="15" customHeight="1" x14ac:dyDescent="0.15">
      <c r="A2" s="48" t="s">
        <v>90</v>
      </c>
      <c r="B2" s="7" t="s">
        <v>91</v>
      </c>
      <c r="C2" s="5" t="s">
        <v>12</v>
      </c>
      <c r="D2" s="72">
        <f>225*'Embodied Carbon Factors'!D3 + 0.9714*'Embodied Carbon Factors'!D2</f>
        <v>458.77440000000001</v>
      </c>
      <c r="E2" s="72">
        <f>SQRT((225*'Embodied Carbon Factors'!E3)^2 + (0.9714*'Embodied Carbon Factors'!E2)^2)</f>
        <v>137.56371482807938</v>
      </c>
      <c r="F2" s="72">
        <f>0.9714*J2 + (1-0.9714)*J3</f>
        <v>2555.87</v>
      </c>
      <c r="G2" s="79">
        <v>0.05</v>
      </c>
      <c r="H2" s="7"/>
      <c r="I2" s="7" t="s">
        <v>92</v>
      </c>
      <c r="J2" s="73">
        <v>2400</v>
      </c>
      <c r="K2" s="7"/>
      <c r="L2" s="7"/>
    </row>
    <row r="3" spans="1:12" ht="15" customHeight="1" x14ac:dyDescent="0.15">
      <c r="A3" s="48" t="s">
        <v>93</v>
      </c>
      <c r="B3" s="7" t="s">
        <v>94</v>
      </c>
      <c r="C3" s="5" t="s">
        <v>12</v>
      </c>
      <c r="D3" s="72">
        <f>325*'Embodied Carbon Factors'!D3 + 0.9586*'Embodied Carbon Factors'!D2</f>
        <v>542.2056</v>
      </c>
      <c r="E3" s="72">
        <f>SQRT((325*'Embodied Carbon Factors'!E3)^2 + (0.9586*'Embodied Carbon Factors'!E2)^2)</f>
        <v>191.26179467405936</v>
      </c>
      <c r="F3" s="72">
        <f>0.9586*J2 + (1-0.9586)*J3</f>
        <v>2625.6299999999997</v>
      </c>
      <c r="G3" s="79">
        <v>0.05</v>
      </c>
      <c r="H3" s="7"/>
      <c r="I3" s="7" t="s">
        <v>95</v>
      </c>
      <c r="J3" s="73">
        <v>7850</v>
      </c>
      <c r="K3" s="7"/>
      <c r="L3" s="7"/>
    </row>
    <row r="4" spans="1:12" ht="15" customHeight="1" x14ac:dyDescent="0.15">
      <c r="A4" s="48" t="s">
        <v>96</v>
      </c>
      <c r="B4" s="7" t="s">
        <v>97</v>
      </c>
      <c r="C4" s="5" t="s">
        <v>12</v>
      </c>
      <c r="D4" s="72">
        <f>0.67*D2 + 0.33*D3</f>
        <v>486.30669599999999</v>
      </c>
      <c r="E4" s="72">
        <f>0.67*E2 + 0.33*E3</f>
        <v>155.2840811772528</v>
      </c>
      <c r="F4" s="72">
        <f>0.67*F2 + 0.33*F3</f>
        <v>2578.8908000000001</v>
      </c>
      <c r="G4" s="79">
        <v>0.05</v>
      </c>
      <c r="H4" s="7"/>
      <c r="I4" s="7" t="s">
        <v>98</v>
      </c>
      <c r="J4" s="73">
        <v>1700</v>
      </c>
      <c r="K4" s="7"/>
      <c r="L4" s="7"/>
    </row>
    <row r="5" spans="1:12" ht="15" customHeight="1" x14ac:dyDescent="0.15">
      <c r="A5" s="48" t="s">
        <v>99</v>
      </c>
      <c r="B5" s="7" t="s">
        <v>100</v>
      </c>
      <c r="C5" s="5" t="s">
        <v>12</v>
      </c>
      <c r="D5" s="72">
        <f>85*'Embodied Carbon Factors'!D3 + 0.9892*'Embodied Carbon Factors'!D2</f>
        <v>341.93819999999999</v>
      </c>
      <c r="E5" s="72">
        <f>SQRT((85*'Embodied Carbon Factors'!E3)^2 + (0.9892*'Embodied Carbon Factors'!E2)^2)</f>
        <v>70.944638218119906</v>
      </c>
      <c r="F5" s="72">
        <f>0.9892*J2 + (1-0.9892)*J3</f>
        <v>2458.86</v>
      </c>
      <c r="G5" s="79">
        <v>0.05</v>
      </c>
      <c r="H5" s="7"/>
      <c r="I5" s="7" t="s">
        <v>101</v>
      </c>
      <c r="J5" s="73">
        <v>1300</v>
      </c>
      <c r="K5" s="7"/>
      <c r="L5" s="7"/>
    </row>
    <row r="6" spans="1:12" ht="15" customHeight="1" x14ac:dyDescent="0.15">
      <c r="A6" s="48" t="s">
        <v>102</v>
      </c>
      <c r="B6" s="7" t="s">
        <v>103</v>
      </c>
      <c r="C6" s="5" t="s">
        <v>12</v>
      </c>
      <c r="D6" s="72">
        <f>125*'Embodied Carbon Factors'!D3 + 0.9841*'Embodied Carbon Factors'!D2</f>
        <v>375.31610000000001</v>
      </c>
      <c r="E6" s="72">
        <f>SQRT((125*'Embodied Carbon Factors'!E3)^2 + (0.9841*'Embodied Carbon Factors'!E2)^2)</f>
        <v>87.820866799376262</v>
      </c>
      <c r="F6" s="72">
        <f>0.9841*J2 + (1-0.9841)*J3</f>
        <v>2486.6550000000002</v>
      </c>
      <c r="G6" s="79">
        <v>0.05</v>
      </c>
      <c r="H6" s="7"/>
      <c r="I6" s="7" t="s">
        <v>104</v>
      </c>
      <c r="J6" s="73">
        <v>500</v>
      </c>
      <c r="K6" s="7"/>
      <c r="L6" s="7"/>
    </row>
    <row r="7" spans="1:12" ht="15" customHeight="1" x14ac:dyDescent="0.15">
      <c r="A7" s="48" t="s">
        <v>105</v>
      </c>
      <c r="B7" s="7" t="s">
        <v>106</v>
      </c>
      <c r="C7" s="5" t="s">
        <v>12</v>
      </c>
      <c r="D7" s="72">
        <f>110*'Embodied Carbon Factors'!D3 + 0.986*'Embodied Carbon Factors'!D2</f>
        <v>362.79600000000005</v>
      </c>
      <c r="E7" s="72">
        <f>SQRT((110*'Embodied Carbon Factors'!E3)^2 + (0.986*'Embodied Carbon Factors'!E2)^2)</f>
        <v>81.159117298460657</v>
      </c>
      <c r="F7" s="72">
        <f>0.986*J2 + (1-0.986)*J3</f>
        <v>2476.3000000000002</v>
      </c>
      <c r="G7" s="79">
        <v>0.05</v>
      </c>
      <c r="H7" s="7"/>
      <c r="I7" s="7" t="s">
        <v>107</v>
      </c>
      <c r="J7" s="73">
        <v>1500</v>
      </c>
      <c r="K7" s="7"/>
      <c r="L7" s="7"/>
    </row>
    <row r="8" spans="1:12" ht="15" customHeight="1" x14ac:dyDescent="0.15">
      <c r="A8" s="48" t="s">
        <v>108</v>
      </c>
      <c r="B8" s="7" t="s">
        <v>109</v>
      </c>
      <c r="C8" s="5" t="s">
        <v>12</v>
      </c>
      <c r="D8" s="72">
        <f>(90*(0.55*0.55*0.25-0.4*0.4*0.17)*'Embodied Carbon Factors'!D3 + 0.9885*(0.55*0.55*0.25-0.4*0.4*0.17)*'Embodied Carbon Factors'!D2 + (0.4*0.4*0.17)*'Embodied Carbon Factors'!D9*J6)/0.25/0.55/0.55</f>
        <v>257.58119322314053</v>
      </c>
      <c r="E8" s="72">
        <f>SQRT((90*(0.55*0.55*0.25-0.4*0.4*0.17)*'Embodied Carbon Factors'!E3)^2 + (0.9885*(0.55*0.55*0.25-0.4*0.4*0.17)*'Embodied Carbon Factors'!E2)^2 + ((0.4*0.4*0.17)*'Embodied Carbon Factors'!E9*J6)^2)/0.25/0.55/0.55</f>
        <v>48.22668081288424</v>
      </c>
      <c r="F8" s="72">
        <f>((1-0.9885)*(0.55*0.55*0.25-0.4*0.4*0.17)*J3 + 0.9885*(0.55*0.55*0.25-0.4*0.4*0.17)*J2 + (0.4*0.4*0.17)*J6)/0.25/0.55/0.55</f>
        <v>1756.7608181818177</v>
      </c>
      <c r="G8" s="80">
        <v>0.06</v>
      </c>
      <c r="H8" s="7"/>
      <c r="I8" s="7" t="s">
        <v>110</v>
      </c>
      <c r="J8" s="73">
        <v>640</v>
      </c>
      <c r="K8" s="7"/>
      <c r="L8" s="7"/>
    </row>
    <row r="9" spans="1:12" ht="15" customHeight="1" x14ac:dyDescent="0.15">
      <c r="A9" s="48" t="s">
        <v>111</v>
      </c>
      <c r="B9" s="7" t="s">
        <v>112</v>
      </c>
      <c r="C9" s="5" t="s">
        <v>12</v>
      </c>
      <c r="D9" s="72">
        <f>(90*(0.55*0.55*0.25-0.4*0.4*0.17)*'Embodied Carbon Factors'!D3 + 0.9885*(0.55*0.55*0.25-0.4*0.4*0.17)*'Embodied Carbon Factors'!D2 + (0.4*0.4*0.17)*'Embodied Carbon Factors'!D11*J7)/0.25/0.55/0.55</f>
        <v>345.70020148760335</v>
      </c>
      <c r="E9" s="72">
        <f>SQRT((90*(0.55*0.55*0.25-0.4*0.4*0.17)*'Embodied Carbon Factors'!E3)^2 + (0.9885*(0.55*0.55*0.25-0.4*0.4*0.17)*'Embodied Carbon Factors'!E2)^2 + ((0.4*0.4*0.17)*'Embodied Carbon Factors'!E11*J7)^2)/0.25/0.55/0.55</f>
        <v>71.170010052256245</v>
      </c>
      <c r="F9" s="72">
        <f>((1-0.9885)*(0.55*0.55*0.25-0.4*0.4*0.17)*J3 + 0.9885*(0.55*0.55*0.25-0.4*0.4*0.17)*J2 + (0.4*0.4*0.17)*J7)/0.25/0.55/0.55</f>
        <v>2116.4302396694216</v>
      </c>
      <c r="G9" s="79">
        <v>0.05</v>
      </c>
      <c r="H9" s="7"/>
      <c r="I9" s="7" t="s">
        <v>113</v>
      </c>
      <c r="J9" s="73">
        <v>1000</v>
      </c>
      <c r="K9" s="7"/>
      <c r="L9" s="7"/>
    </row>
    <row r="10" spans="1:12" ht="15" customHeight="1" x14ac:dyDescent="0.15">
      <c r="A10" s="48" t="s">
        <v>114</v>
      </c>
      <c r="B10" s="7" t="s">
        <v>115</v>
      </c>
      <c r="C10" s="5" t="s">
        <v>12</v>
      </c>
      <c r="D10" s="72">
        <f>(7610*10^-6*J3*'Embodied Carbon Factors'!D4 + (0.15*2-3.33*0.18*0.08)*'Embodied Carbon Factors'!D2 +  90*(0.15*2-3.33*0.18*0.08)*'Embodied Carbon Factors'!D3 + 3.33*0.001*(0.18+0.06+0.06)*J3*'Embodied Carbon Factors'!D6)/(0.15*2+7610*10^-6)</f>
        <v>497.00467279997395</v>
      </c>
      <c r="E10" s="72">
        <f>SQRT((7610*10^-6*J3*'Embodied Carbon Factors'!E4)^2 + ((0.15*2-3.33*0.18*0.08)*'Embodied Carbon Factors'!E2)^2 + (90*(0.15*2-3.33*0.18*0.08)*'Embodied Carbon Factors'!E3)^2 + (3.33*0.001*(0.18+0.06+0.06)*J3*'Embodied Carbon Factors'!E6)^2)/(0.15*2+7610*10^-6)</f>
        <v>78.727099110024611</v>
      </c>
      <c r="F10" s="72">
        <f>(7610*10^-6*J3+(0.15*2-3.33*0.18*0.08)*J2 + 90*(0.15*2-3.33*0.18*0.08) + 3.33*0.001*(0.18+0.06+0.06)*J3)/(0.15*2+7610*10^-6)</f>
        <v>2259.9400864731315</v>
      </c>
      <c r="G10" s="79">
        <v>0.05</v>
      </c>
      <c r="H10" s="7"/>
      <c r="I10" s="7" t="s">
        <v>116</v>
      </c>
      <c r="J10" s="73">
        <v>80</v>
      </c>
      <c r="K10" s="7"/>
      <c r="L10" s="7"/>
    </row>
    <row r="11" spans="1:12" ht="15" customHeight="1" x14ac:dyDescent="0.15">
      <c r="A11" s="48" t="s">
        <v>117</v>
      </c>
      <c r="B11" s="7" t="s">
        <v>118</v>
      </c>
      <c r="C11" s="5" t="s">
        <v>12</v>
      </c>
      <c r="D11" s="72">
        <f>'Embodied Carbon Factors'!D7</f>
        <v>162</v>
      </c>
      <c r="E11" s="72">
        <f>'Embodied Carbon Factors'!E7</f>
        <v>108.378</v>
      </c>
      <c r="F11" s="72">
        <f>J8</f>
        <v>640</v>
      </c>
      <c r="G11" s="79">
        <v>0.1</v>
      </c>
      <c r="H11" s="7"/>
      <c r="I11" s="7" t="s">
        <v>119</v>
      </c>
      <c r="J11" s="73">
        <v>2100</v>
      </c>
      <c r="K11" s="7"/>
      <c r="L11" s="7"/>
    </row>
    <row r="12" spans="1:12" ht="15" customHeight="1" x14ac:dyDescent="0.15">
      <c r="A12" s="48" t="s">
        <v>120</v>
      </c>
      <c r="B12" s="7" t="s">
        <v>121</v>
      </c>
      <c r="C12" s="5" t="s">
        <v>12</v>
      </c>
      <c r="D12" s="72">
        <f>(0.9885*0.6*0.05*'Embodied Carbon Factors'!D2 + 90*0.6*0.05*'Embodied Carbon Factors'!D3 + 0.3*0.05*'Embodied Carbon Factors'!D7)/(0.05*0.6 + 0.3*0.05)</f>
        <v>284.72900000000004</v>
      </c>
      <c r="E12" s="72">
        <f>SQRT((0.9885*0.6*0.05*'Embodied Carbon Factors'!E2)^2 + (90*0.6*0.05*'Embodied Carbon Factors'!E3)^2 + (0.3*0.05*'Embodied Carbon Factors'!E7)^2)/(0.05*0.6 + 0.3*0.05)</f>
        <v>60.544788939616893</v>
      </c>
      <c r="F12" s="72">
        <f>(0.9885*0.6*0.05*J2 + (1-0.9885)*0.6*0.05*J3 + 0.3*0.05*J8)/(0.05*0.6 + 0.3*0.05)</f>
        <v>1855.1166666666663</v>
      </c>
      <c r="G12" s="79">
        <v>0.1</v>
      </c>
      <c r="H12" s="7"/>
      <c r="I12" s="7" t="s">
        <v>122</v>
      </c>
      <c r="J12" s="73">
        <v>800</v>
      </c>
      <c r="K12" s="7"/>
      <c r="L12" s="7"/>
    </row>
    <row r="13" spans="1:12" ht="15" customHeight="1" x14ac:dyDescent="0.15">
      <c r="A13" s="48" t="s">
        <v>123</v>
      </c>
      <c r="B13" s="7" t="s">
        <v>124</v>
      </c>
      <c r="C13" s="5" t="s">
        <v>12</v>
      </c>
      <c r="D13" s="72">
        <f>'Embodied Carbon Factors'!D7</f>
        <v>162</v>
      </c>
      <c r="E13" s="72">
        <f>'Embodied Carbon Factors'!E7</f>
        <v>108.378</v>
      </c>
      <c r="F13" s="72">
        <f>J8</f>
        <v>640</v>
      </c>
      <c r="G13" s="79">
        <v>0.02</v>
      </c>
      <c r="H13" s="7"/>
      <c r="I13" s="7" t="s">
        <v>125</v>
      </c>
      <c r="J13" s="73">
        <v>2700</v>
      </c>
      <c r="K13" s="7"/>
      <c r="L13" s="7"/>
    </row>
    <row r="14" spans="1:12" ht="15" customHeight="1" x14ac:dyDescent="0.15">
      <c r="A14" s="48" t="s">
        <v>126</v>
      </c>
      <c r="B14" s="7" t="s">
        <v>127</v>
      </c>
      <c r="C14" s="5" t="s">
        <v>12</v>
      </c>
      <c r="D14" s="72">
        <f>'Embodied Carbon Factors'!D5*J3</f>
        <v>19782</v>
      </c>
      <c r="E14" s="72">
        <f>'Embodied Carbon Factors'!E5*J3</f>
        <v>4317.5</v>
      </c>
      <c r="F14" s="72">
        <f>J3</f>
        <v>7850</v>
      </c>
      <c r="G14" s="79">
        <v>0.01</v>
      </c>
      <c r="H14" s="7"/>
      <c r="I14" s="7"/>
      <c r="J14" s="7"/>
      <c r="K14" s="7"/>
      <c r="L14" s="7"/>
    </row>
    <row r="15" spans="1:12" ht="15" customHeight="1" x14ac:dyDescent="0.15">
      <c r="A15" s="48" t="s">
        <v>128</v>
      </c>
      <c r="B15" s="7" t="s">
        <v>127</v>
      </c>
      <c r="C15" s="5" t="s">
        <v>12</v>
      </c>
      <c r="D15" s="72">
        <f>'Embodied Carbon Factors'!D4*J3</f>
        <v>5442.5620000000008</v>
      </c>
      <c r="E15" s="72">
        <f>'Embodied Carbon Factors'!E4*J3</f>
        <v>1965.4044999999999</v>
      </c>
      <c r="F15" s="72">
        <f>J3</f>
        <v>7850</v>
      </c>
      <c r="G15" s="79">
        <v>0.01</v>
      </c>
      <c r="H15" s="7"/>
      <c r="I15" s="7"/>
      <c r="J15" s="7"/>
      <c r="K15" s="7"/>
      <c r="L15" s="7"/>
    </row>
    <row r="16" spans="1:12" ht="15" customHeight="1" x14ac:dyDescent="0.15">
      <c r="A16" s="48" t="s">
        <v>129</v>
      </c>
      <c r="B16" s="48" t="s">
        <v>130</v>
      </c>
      <c r="C16" s="5" t="s">
        <v>131</v>
      </c>
      <c r="D16" s="72">
        <v>384.50558560049262</v>
      </c>
      <c r="E16" s="72">
        <v>98.241070904068238</v>
      </c>
      <c r="F16" s="72">
        <f>(J4*0.25*0.25*0.25 + (0.26*0.26-0.25*0.25)*0.25*J11 + 0.26*0.26*0.03*2*J12 + 0.26*0.26*0.025*2*J10)/0.26/0.26*3</f>
        <v>1453.6331360946745</v>
      </c>
      <c r="G16" s="81">
        <v>0.06</v>
      </c>
      <c r="H16" s="53"/>
      <c r="I16" s="53"/>
      <c r="J16" s="52"/>
      <c r="K16" s="52"/>
      <c r="L16" s="52"/>
    </row>
    <row r="17" spans="1:13" ht="15" customHeight="1" x14ac:dyDescent="0.15">
      <c r="A17" s="48" t="s">
        <v>132</v>
      </c>
      <c r="B17" s="48" t="s">
        <v>133</v>
      </c>
      <c r="C17" s="5" t="s">
        <v>131</v>
      </c>
      <c r="D17" s="72">
        <v>324.46572457560131</v>
      </c>
      <c r="E17" s="72">
        <v>69.461050692580699</v>
      </c>
      <c r="F17" s="72">
        <f>(J5*0.25*0.25*0.25 + (0.26*0.26-0.25*0.25)*0.25*J11 + 0.26*0.26*0.03*2*J12 + 0.26*0.26*0.025*2*J10)/0.26/0.26*3</f>
        <v>1176.2662721893491</v>
      </c>
      <c r="G17" s="81">
        <v>0.06</v>
      </c>
      <c r="H17" s="53"/>
      <c r="I17" s="53"/>
      <c r="J17" s="52"/>
      <c r="K17" s="52"/>
      <c r="L17" s="52"/>
    </row>
    <row r="18" spans="1:13" ht="15" customHeight="1" x14ac:dyDescent="0.15">
      <c r="A18" s="48" t="s">
        <v>134</v>
      </c>
      <c r="B18" s="48" t="s">
        <v>135</v>
      </c>
      <c r="C18" s="5" t="s">
        <v>131</v>
      </c>
      <c r="D18" s="72">
        <v>388.45985613542462</v>
      </c>
      <c r="E18" s="72">
        <v>114.11490938729609</v>
      </c>
      <c r="F18" s="72">
        <f>(J7*0.25*0.25*0.25 + (0.26*0.26-0.25*0.25)*0.25*J11 + 0.26*0.26*0.03*2*J12 + 0.26*0.26*0.025*2*J10)/0.26/0.26*3</f>
        <v>1314.9497041420118</v>
      </c>
      <c r="G18" s="81">
        <v>0.05</v>
      </c>
      <c r="H18" s="53"/>
      <c r="I18" s="53"/>
      <c r="J18" s="52"/>
      <c r="K18" s="52"/>
      <c r="L18" s="52"/>
    </row>
    <row r="19" spans="1:13" ht="15" customHeight="1" x14ac:dyDescent="0.15">
      <c r="A19" s="48" t="s">
        <v>136</v>
      </c>
      <c r="B19" s="48" t="s">
        <v>137</v>
      </c>
      <c r="C19" s="5" t="s">
        <v>131</v>
      </c>
      <c r="D19" s="72">
        <v>193.6159767377215</v>
      </c>
      <c r="E19" s="72">
        <v>40.983258253415002</v>
      </c>
      <c r="F19" s="72">
        <f>(J4*0.25*0.25*0.1 + (0.26*0.26-0.25*0.25)*0.1*J11 + 0.26*0.26*0.03*2*J12)/0.26/0.26*3</f>
        <v>663.0532544378699</v>
      </c>
      <c r="G19" s="80">
        <v>0.06</v>
      </c>
      <c r="H19" s="53"/>
      <c r="I19" s="53"/>
      <c r="J19" s="52"/>
      <c r="K19" s="52"/>
      <c r="L19" s="52"/>
    </row>
    <row r="20" spans="1:13" ht="15" customHeight="1" x14ac:dyDescent="0.15">
      <c r="A20" s="48" t="s">
        <v>138</v>
      </c>
      <c r="B20" s="48" t="s">
        <v>139</v>
      </c>
      <c r="C20" s="5" t="s">
        <v>131</v>
      </c>
      <c r="D20" s="72">
        <v>169.60003232776501</v>
      </c>
      <c r="E20" s="72">
        <v>30.1382206378834</v>
      </c>
      <c r="F20" s="72">
        <f>(J5*0.25*0.25*0.1 + (0.26*0.26-0.25*0.25)*0.1*J11 + 0.26*0.26*0.03*2*J12)/0.26/0.26*3</f>
        <v>552.10650887573979</v>
      </c>
      <c r="G20" s="80">
        <v>0.06</v>
      </c>
      <c r="H20" s="53"/>
      <c r="I20" s="53"/>
      <c r="J20" s="52"/>
      <c r="K20" s="52"/>
      <c r="L20" s="52"/>
    </row>
    <row r="21" spans="1:13" ht="15" customHeight="1" x14ac:dyDescent="0.15">
      <c r="A21" s="48" t="s">
        <v>140</v>
      </c>
      <c r="B21" s="48" t="s">
        <v>141</v>
      </c>
      <c r="C21" s="5" t="s">
        <v>131</v>
      </c>
      <c r="D21" s="72">
        <v>195.19768495169421</v>
      </c>
      <c r="E21" s="72">
        <v>47.099084074516888</v>
      </c>
      <c r="F21" s="72">
        <f>(J7*0.25*0.25*0.1 + (0.26*0.26-0.25*0.25)*0.1*J11 + 0.26*0.26*0.03*2*J12)/0.26/0.26*3</f>
        <v>607.5798816568049</v>
      </c>
      <c r="G21" s="81">
        <v>0.05</v>
      </c>
      <c r="H21" s="66"/>
      <c r="I21" s="53"/>
      <c r="J21" s="52"/>
      <c r="K21" s="52"/>
      <c r="L21" s="52"/>
    </row>
    <row r="22" spans="1:13" ht="15" customHeight="1" x14ac:dyDescent="0.15">
      <c r="A22" s="48" t="s">
        <v>142</v>
      </c>
      <c r="B22" s="48" t="s">
        <v>143</v>
      </c>
      <c r="C22" s="5" t="s">
        <v>12</v>
      </c>
      <c r="D22" s="72">
        <v>483.12620097115399</v>
      </c>
      <c r="E22" s="72">
        <v>129.90314279610419</v>
      </c>
      <c r="F22" s="72">
        <f>(J4*0.25*0.25*0.3 + (0.26*0.26-0.25*0.25)*0.3*J11 + 0.26*0.26*0.03*2*J12 + 0.26*0.26*0.025*2*J10)/0.26/0.26/(0.3+2*0.03+2*0.025)</f>
        <v>1392.8128157021217</v>
      </c>
      <c r="G22" s="80">
        <v>0.06</v>
      </c>
      <c r="H22" s="53"/>
      <c r="I22" s="53"/>
      <c r="J22" s="52"/>
      <c r="K22" s="52"/>
      <c r="L22" s="52"/>
      <c r="M22" s="53"/>
    </row>
    <row r="23" spans="1:13" ht="15" customHeight="1" x14ac:dyDescent="0.15">
      <c r="A23" s="48" t="s">
        <v>144</v>
      </c>
      <c r="B23" s="48" t="s">
        <v>145</v>
      </c>
      <c r="C23" s="5" t="s">
        <v>12</v>
      </c>
      <c r="D23" s="72">
        <v>403.0730529379656</v>
      </c>
      <c r="E23" s="72">
        <v>91.084650065825997</v>
      </c>
      <c r="F23" s="72">
        <f>(J5*0.25*0.25*0.3 + (0.26*0.26-0.25*0.25)*0.3*J11 + 0.26*0.26*0.03*2*J12 + 0.26*0.26*0.025*2*J10)/0.26/0.26/(0.3+2*0.03+2*0.025)</f>
        <v>1122.2109972579019</v>
      </c>
      <c r="G23" s="80">
        <v>0.06</v>
      </c>
      <c r="H23" s="53"/>
      <c r="I23" s="53"/>
      <c r="J23" s="52"/>
      <c r="K23" s="52"/>
      <c r="L23" s="52"/>
      <c r="M23" s="53"/>
    </row>
    <row r="24" spans="1:13" ht="15" customHeight="1" x14ac:dyDescent="0.15">
      <c r="A24" s="48" t="s">
        <v>146</v>
      </c>
      <c r="B24" s="48" t="s">
        <v>147</v>
      </c>
      <c r="C24" s="5" t="s">
        <v>12</v>
      </c>
      <c r="D24" s="72">
        <v>571.17003604263084</v>
      </c>
      <c r="E24" s="72">
        <v>152.71754476824839</v>
      </c>
      <c r="F24" s="72">
        <f>0.7 * (((J7*0.25*0.25*0.3 + (0.26*0.26-0.25*0.25)*0.3*J11 + 0.26*0.26*0.03*2*J12 + 0.25*0.3*0.25*0.2*J2 + (201*0.26+113*0.26)*10^-6*J3 + 0.26*0.26*0.025*2*J10))/0.26/0.26/(0.3+2*0.03+2*0.025)) + 0.3 * (((J7*0.25*0.25*0.3 + (0.26*0.26-0.25*0.25)*0.3*J11 + 0.26*0.26*0.03*2*J12 + 0.25*0.3*0.25*0.2*J2 + (201*0.26+113*0.26)*10^-6*J3))/0.26/0.26/(0.3+2*0.03))</f>
        <v>1668.9135186655121</v>
      </c>
      <c r="G24" s="80">
        <v>0.06</v>
      </c>
      <c r="H24" s="54"/>
      <c r="I24" s="54"/>
      <c r="J24" s="52"/>
      <c r="K24" s="52"/>
      <c r="L24" s="52"/>
      <c r="M24" s="53"/>
    </row>
    <row r="25" spans="1:13" ht="15" customHeight="1" x14ac:dyDescent="0.15">
      <c r="A25" s="48" t="s">
        <v>148</v>
      </c>
      <c r="B25" s="48" t="s">
        <v>147</v>
      </c>
      <c r="C25" s="5" t="s">
        <v>12</v>
      </c>
      <c r="D25" s="72">
        <v>485.84452729620011</v>
      </c>
      <c r="E25" s="72">
        <v>93.595295627708452</v>
      </c>
      <c r="F25" s="72">
        <f>0.7* ((J5*0.25*0.25*0.3 + (0.26*0.26-0.25*0.25)*0.3*J11 + 0.26*0.26*0.03*2*J12 + 0.25*0.3*0.25*0.2*J2 + (201*0.26+113*0.26)*10^-6*J3 + 0.26*0.26*0.025*2*J10)/0.26/0.26/(0.3+2*0.03+2*0.025)) + 0.3* ((J5*0.25*0.25*0.3 + (0.26*0.26-0.25*0.25)*0.3*J11 + 0.26*0.26*0.03*2*J12 + 0.25*0.3*0.25*0.2*J2 + (201*0.26+113*0.26)*10^-6*J3)/0.26/0.26/(0.3+2*0.03))</f>
        <v>1527.9750715591476</v>
      </c>
      <c r="G25" s="80">
        <v>0.06</v>
      </c>
      <c r="H25" s="54"/>
      <c r="I25" s="54"/>
      <c r="J25" s="52"/>
      <c r="K25" s="52"/>
      <c r="L25" s="52"/>
      <c r="M25" s="53"/>
    </row>
    <row r="26" spans="1:13" ht="15" customHeight="1" x14ac:dyDescent="0.15">
      <c r="A26" s="48" t="s">
        <v>149</v>
      </c>
      <c r="B26" s="48" t="s">
        <v>150</v>
      </c>
      <c r="C26" s="5" t="s">
        <v>131</v>
      </c>
      <c r="D26" s="72">
        <f>'Embodied Carbon Factors'!D10*553 + 'Embodied Carbon Factors'!D27/(J9*0.02)*65 + 'Embodied Carbon Factors'!D5*15 + 'Embodied Carbon Factors'!D28*39/(0.15*J10) + 98/J11*(0.2*J11*'Embodied Carbon Factors'!D29*0.001 + 0.8*J11*'Embodied Carbon Factors'!D30*0.001)</f>
        <v>187.516188</v>
      </c>
      <c r="E26" s="72">
        <f>SQRT(('Embodied Carbon Factors'!E10*553)^2 + ('Embodied Carbon Factors'!E27/(J9*0.02)*65)^2 + ('Embodied Carbon Factors'!E5*15)^2 + ('Embodied Carbon Factors'!E28*39/(0.15*J10))^2 + (98.28/J11*(0.2*J11*'Embodied Carbon Factors'!E29*0.001 + 0.8*J11*'Embodied Carbon Factors'!E30*0.001))^2)/1</f>
        <v>43.406942315373961</v>
      </c>
      <c r="F26" s="72">
        <v>770</v>
      </c>
      <c r="G26" s="80">
        <v>0.06</v>
      </c>
      <c r="J26" s="7"/>
      <c r="K26" s="7"/>
      <c r="L26" s="7"/>
    </row>
    <row r="27" spans="1:13" ht="15" customHeight="1" x14ac:dyDescent="0.15">
      <c r="A27" s="48" t="s">
        <v>151</v>
      </c>
      <c r="B27" s="48" t="s">
        <v>152</v>
      </c>
      <c r="C27" s="5" t="s">
        <v>131</v>
      </c>
      <c r="D27" s="72">
        <f>'Embodied Carbon Factors'!D27/(J9*0.02)*80 + 'Embodied Carbon Factors'!D5*25 + 'Embodied Carbon Factors'!D28*48/(0.15*J10)</f>
        <v>86</v>
      </c>
      <c r="E27" s="72">
        <f>SQRT(('Embodied Carbon Factors'!E27/(J9*0.02)*80)^2 + ('Embodied Carbon Factors'!E5*25)^2 + ('Embodied Carbon Factors'!E28*48/(0.15*J10))^2)/1</f>
        <v>17.141578107047206</v>
      </c>
      <c r="F27" s="72">
        <v>153</v>
      </c>
      <c r="G27" s="80">
        <v>7.0000000000000007E-2</v>
      </c>
      <c r="J27" s="7"/>
      <c r="K27" s="7"/>
      <c r="L27" s="7"/>
    </row>
    <row r="28" spans="1:13" ht="15" customHeight="1" x14ac:dyDescent="0.15">
      <c r="A28" s="48" t="s">
        <v>153</v>
      </c>
      <c r="B28" s="48" t="s">
        <v>154</v>
      </c>
      <c r="C28" s="5" t="s">
        <v>131</v>
      </c>
      <c r="D28" s="72">
        <f>'Embodied Carbon Factors'!D28*32/(0.1*J10) + 'Embodied Carbon Factors'!D6*13</f>
        <v>52.910000000000004</v>
      </c>
      <c r="E28" s="72">
        <f>SQRT(('Embodied Carbon Factors'!E28*32/(0.1*J10))^2 + ('Embodied Carbon Factors'!E6*13)^2)/1</f>
        <v>11.695350427075711</v>
      </c>
      <c r="F28" s="72">
        <v>45</v>
      </c>
      <c r="G28" s="79">
        <v>7.0000000000000007E-2</v>
      </c>
      <c r="H28" s="7"/>
      <c r="I28" s="7"/>
      <c r="J28" s="7"/>
      <c r="K28" s="7"/>
      <c r="L28" s="7"/>
    </row>
    <row r="29" spans="1:13" ht="15" customHeight="1" x14ac:dyDescent="0.15">
      <c r="A29" s="48" t="s">
        <v>155</v>
      </c>
      <c r="B29" s="48" t="s">
        <v>156</v>
      </c>
      <c r="C29" s="5" t="s">
        <v>131</v>
      </c>
      <c r="D29" s="72">
        <f>'Embodied Carbon Factors'!D8/J8*26 + 'Embodied Carbon Factors'!D27/(J9*0.02)*80 + 'Embodied Carbon Factors'!D5*13 + 'Embodied Carbon Factors'!D28*32/(0.1*J10)</f>
        <v>62.869374999999998</v>
      </c>
      <c r="E29" s="74">
        <f>SQRT(('Embodied Carbon Factors'!E8/J8*26)^2 + ('Embodied Carbon Factors'!E27/(J9*0.02)*80)^2 + ('Embodied Carbon Factors'!E5*13)^2 + ('Embodied Carbon Factors'!E28*32/(0.1*J10))^2)/1</f>
        <v>12.822853655832866</v>
      </c>
      <c r="F29" s="72">
        <v>150</v>
      </c>
      <c r="G29" s="79">
        <v>0.1</v>
      </c>
      <c r="H29" s="7"/>
      <c r="I29" s="7"/>
      <c r="J29" s="7"/>
      <c r="K29" s="7"/>
      <c r="L29" s="7"/>
    </row>
    <row r="30" spans="1:13" ht="15" customHeight="1" x14ac:dyDescent="0.15">
      <c r="A30" s="48" t="s">
        <v>157</v>
      </c>
      <c r="B30" s="48" t="s">
        <v>158</v>
      </c>
      <c r="C30" s="5" t="s">
        <v>131</v>
      </c>
      <c r="D30" s="72">
        <f>'Embodied Carbon Factors'!D8/J8*26 + 'Embodied Carbon Factors'!D27/(J9*0.02)*80 + 'Embodied Carbon Factors'!D5*13</f>
        <v>48.829374999999999</v>
      </c>
      <c r="E30" s="74">
        <f>SQRT(('Embodied Carbon Factors'!E8/J8*26)^2 + ('Embodied Carbon Factors'!E27/(J9*0.02)*80)^2 + ('Embodied Carbon Factors'!E5*13)^2)/1</f>
        <v>9.2887015173761647</v>
      </c>
      <c r="F30" s="72">
        <v>118</v>
      </c>
      <c r="G30" s="79">
        <v>0.1</v>
      </c>
      <c r="H30" s="7"/>
      <c r="I30" s="7"/>
      <c r="J30" s="7"/>
      <c r="K30" s="7"/>
      <c r="L30" s="7"/>
    </row>
    <row r="31" spans="1:13" ht="15" customHeight="1" x14ac:dyDescent="0.15">
      <c r="A31" s="48" t="s">
        <v>159</v>
      </c>
      <c r="B31" s="7" t="s">
        <v>160</v>
      </c>
      <c r="C31" s="11" t="s">
        <v>51</v>
      </c>
      <c r="D31" s="75">
        <f>'Embodied Carbon Factors'!D8*0.02</f>
        <v>3.5</v>
      </c>
      <c r="E31" s="75">
        <f>'Embodied Carbon Factors'!E8*0.02</f>
        <v>1.4380000000000002</v>
      </c>
      <c r="F31" s="75">
        <f>J8*0.02</f>
        <v>12.8</v>
      </c>
      <c r="G31" s="79">
        <v>0.1</v>
      </c>
      <c r="H31" s="7"/>
      <c r="I31" s="7"/>
      <c r="J31" s="7"/>
      <c r="K31" s="7"/>
      <c r="L31" s="7"/>
    </row>
    <row r="32" spans="1:13" ht="15" customHeight="1" x14ac:dyDescent="0.15">
      <c r="A32" s="48" t="s">
        <v>161</v>
      </c>
      <c r="B32" s="7" t="s">
        <v>162</v>
      </c>
      <c r="C32" s="5" t="s">
        <v>51</v>
      </c>
      <c r="D32" s="72">
        <f>'Embodied Carbon Factors'!D14*J13*0.02</f>
        <v>5.0220000000000002</v>
      </c>
      <c r="E32" s="72">
        <f>'Embodied Carbon Factors'!E14*J13*0.02</f>
        <v>0</v>
      </c>
      <c r="F32" s="72">
        <f>J13*0.02</f>
        <v>54</v>
      </c>
      <c r="G32" s="79">
        <v>0.05</v>
      </c>
      <c r="H32" s="7"/>
      <c r="I32" s="7"/>
      <c r="J32" s="7"/>
      <c r="K32" s="7"/>
      <c r="L32" s="7"/>
    </row>
    <row r="33" spans="1:12" ht="15" customHeight="1" x14ac:dyDescent="0.15">
      <c r="A33" s="48" t="s">
        <v>163</v>
      </c>
      <c r="B33" s="7" t="s">
        <v>164</v>
      </c>
      <c r="C33" s="5" t="s">
        <v>2</v>
      </c>
      <c r="D33" s="76">
        <f>'Embodied Carbon Factors'!D8*0.05*2.1*0.9</f>
        <v>16.537500000000001</v>
      </c>
      <c r="E33" s="76">
        <f>'Embodied Carbon Factors'!E8*0.05*2.1*0.9</f>
        <v>6.7945500000000019</v>
      </c>
      <c r="F33" s="77">
        <f>J8*0.05*2.1*0.9</f>
        <v>60.480000000000004</v>
      </c>
      <c r="G33" s="79">
        <v>0.1</v>
      </c>
      <c r="H33" s="7"/>
      <c r="I33" s="7"/>
      <c r="J33" s="7"/>
      <c r="K33" s="7"/>
      <c r="L33" s="7"/>
    </row>
    <row r="34" spans="1:12" ht="15" customHeight="1" x14ac:dyDescent="0.15">
      <c r="A34" s="46" t="s">
        <v>165</v>
      </c>
      <c r="B34" s="7" t="s">
        <v>166</v>
      </c>
      <c r="C34" s="5" t="str">
        <f>'Embodied Carbon Factors'!C22</f>
        <v>m2</v>
      </c>
      <c r="D34" s="72">
        <f>'Embodied Carbon Factors'!D22</f>
        <v>68.400000000000006</v>
      </c>
      <c r="E34" s="72">
        <f>'Embodied Carbon Factors'!E22</f>
        <v>14.44</v>
      </c>
      <c r="F34" s="72">
        <f>30</f>
        <v>30</v>
      </c>
      <c r="G34" s="79">
        <v>0.01</v>
      </c>
      <c r="H34" s="7"/>
      <c r="I34" s="7"/>
      <c r="J34" s="7"/>
      <c r="K34" s="7"/>
      <c r="L34" s="7"/>
    </row>
    <row r="35" spans="1:12" ht="15" customHeight="1" x14ac:dyDescent="0.15">
      <c r="A35" s="48" t="s">
        <v>167</v>
      </c>
      <c r="B35" s="7"/>
      <c r="C35" s="5" t="str">
        <f>C44</f>
        <v>m2</v>
      </c>
      <c r="D35" s="72">
        <f>D44</f>
        <v>12.1</v>
      </c>
      <c r="E35" s="72">
        <f>E44</f>
        <v>4.05</v>
      </c>
      <c r="F35" s="72">
        <f>F44</f>
        <v>0</v>
      </c>
      <c r="G35" s="79">
        <v>0.06</v>
      </c>
      <c r="H35" s="7"/>
      <c r="I35" s="7"/>
      <c r="J35" s="7"/>
      <c r="K35" s="7"/>
      <c r="L35" s="7"/>
    </row>
    <row r="36" spans="1:12" ht="15" customHeight="1" x14ac:dyDescent="0.15">
      <c r="A36" s="46" t="s">
        <v>168</v>
      </c>
      <c r="B36" s="4" t="s">
        <v>75</v>
      </c>
      <c r="C36" s="5" t="s">
        <v>51</v>
      </c>
      <c r="D36" s="72">
        <f>'Embodied Carbon Factors'!D34</f>
        <v>21.6</v>
      </c>
      <c r="E36" s="72">
        <f>'Embodied Carbon Factors'!E34</f>
        <v>12.727922061357855</v>
      </c>
      <c r="F36" s="72">
        <v>0</v>
      </c>
      <c r="G36" s="79">
        <v>0.01</v>
      </c>
      <c r="H36" s="7"/>
      <c r="I36" s="7"/>
      <c r="J36" s="7"/>
      <c r="K36" s="7"/>
      <c r="L36" s="7"/>
    </row>
    <row r="37" spans="1:12" ht="15" customHeight="1" x14ac:dyDescent="0.15">
      <c r="A37" s="48" t="s">
        <v>169</v>
      </c>
      <c r="B37" s="7" t="str">
        <f t="shared" ref="B37:B42" si="0">B7</f>
        <v>110 kg of steel per cubic meter (1.4% volumetric ratio)</v>
      </c>
      <c r="C37" s="5" t="s">
        <v>51</v>
      </c>
      <c r="D37" s="72">
        <f>D7*0.15</f>
        <v>54.419400000000003</v>
      </c>
      <c r="E37" s="72">
        <f>E7*0.15</f>
        <v>12.173867594769098</v>
      </c>
      <c r="F37" s="72">
        <f>F7*0.15</f>
        <v>371.44499999999999</v>
      </c>
      <c r="G37" s="81">
        <v>0.05</v>
      </c>
      <c r="H37" s="7"/>
      <c r="I37" s="7"/>
      <c r="J37" s="7"/>
      <c r="K37" s="7"/>
      <c r="L37" s="7"/>
    </row>
    <row r="38" spans="1:12" ht="15" customHeight="1" x14ac:dyDescent="0.15">
      <c r="A38" s="48" t="s">
        <v>170</v>
      </c>
      <c r="B38" s="7" t="str">
        <f t="shared" si="0"/>
        <v>90 kg of steel per cubic meter (1.15% volumetric ratio) and 40x40x17 cm hollow clay blocks with density 500 kg/m3 (36%), 8 cm flange and 15 cm web, slab height 0.25 m</v>
      </c>
      <c r="C38" s="5" t="s">
        <v>51</v>
      </c>
      <c r="D38" s="72">
        <f t="shared" ref="D38:F39" si="1">D8*0.25</f>
        <v>64.395298305785133</v>
      </c>
      <c r="E38" s="72">
        <f t="shared" si="1"/>
        <v>12.05667020322106</v>
      </c>
      <c r="F38" s="72">
        <f t="shared" si="1"/>
        <v>439.19020454545443</v>
      </c>
      <c r="G38" s="80">
        <v>0.06</v>
      </c>
      <c r="H38" s="7"/>
      <c r="I38" s="7"/>
      <c r="J38" s="7"/>
      <c r="K38" s="7"/>
      <c r="L38" s="7"/>
    </row>
    <row r="39" spans="1:12" ht="15" customHeight="1" x14ac:dyDescent="0.15">
      <c r="A39" s="48" t="s">
        <v>171</v>
      </c>
      <c r="B39" s="7" t="str">
        <f t="shared" si="0"/>
        <v>90 kg of steel per cubic meter (1.15% volumetric ratio) and 40x40x17 cm hollow concrete blocks with density 1500 kg/m3 (36%), 8 cm flange and 15 cm web, slab height 0.25 m</v>
      </c>
      <c r="C39" s="5" t="s">
        <v>51</v>
      </c>
      <c r="D39" s="72">
        <f t="shared" si="1"/>
        <v>86.425050371900838</v>
      </c>
      <c r="E39" s="72">
        <f t="shared" si="1"/>
        <v>17.792502513064061</v>
      </c>
      <c r="F39" s="72">
        <f t="shared" si="1"/>
        <v>529.10755991735539</v>
      </c>
      <c r="G39" s="79">
        <v>0.05</v>
      </c>
      <c r="H39" s="7"/>
      <c r="I39" s="7"/>
      <c r="J39" s="7"/>
      <c r="K39" s="7"/>
      <c r="L39" s="7"/>
    </row>
    <row r="40" spans="1:12" ht="15" customHeight="1" x14ac:dyDescent="0.15">
      <c r="A40" s="48" t="s">
        <v>172</v>
      </c>
      <c r="B40" s="7" t="str">
        <f t="shared" si="0"/>
        <v>90 kg of steel per cubic meter (1.15% volumetric ratio), 15 cm solid slab, 7610 mm2 girders with 2 m spacing, steel deck with depth of 80 mm, openings spaced by 120 mm with 120 mm width [each 1 m of slab will have 3.333 parts of deck]</v>
      </c>
      <c r="C40" s="5" t="s">
        <v>51</v>
      </c>
      <c r="D40" s="72">
        <f>(7610*10^-6*J3*'Embodied Carbon Factors'!D4 + (0.15*2-3.33*0.18*0.08)*'Embodied Carbon Factors'!D2 +  90*(0.15*2-3.33*0.18*0.08)*'Embodied Carbon Factors'!D3 + 3.33*0.001*(0.18+0.06+0.06)*7850*'Embodied Carbon Factors'!D6)/2</f>
        <v>76.441803699999994</v>
      </c>
      <c r="E40" s="72">
        <f>SQRT((7610*10^-6*J3*'Embodied Carbon Factors'!E4)^2 + ((0.18*2-3.33*0.18*0.08)*'Embodied Carbon Factors'!E2)^2 + (90*(0.18*2-3.33*0.18*0.08)*'Embodied Carbon Factors'!E3)^2 + (3.33*0.001*(0.18+0.06+0.06)*7850*'Embodied Carbon Factors'!E6)^2)/(2)</f>
        <v>13.859830218257114</v>
      </c>
      <c r="F40" s="72">
        <f>(7610*10^-6*J3+(0.15*2-3.33*0.18*0.08)*J2+ 90*(0.15*2-3.33*0.18*0.08) + 3.33*0.001*(0.18+0.06+0.06)*J3)/(2)</f>
        <v>347.59008499999999</v>
      </c>
      <c r="G40" s="79">
        <v>0.05</v>
      </c>
      <c r="H40" s="7"/>
      <c r="I40" s="7"/>
      <c r="J40" s="7"/>
      <c r="K40" s="7"/>
      <c r="L40" s="7"/>
    </row>
    <row r="41" spans="1:12" ht="15" customHeight="1" x14ac:dyDescent="0.15">
      <c r="A41" s="48" t="s">
        <v>173</v>
      </c>
      <c r="B41" s="7" t="str">
        <f t="shared" si="0"/>
        <v>timber joist 30x5 cm spaced at 0.6 m one way, timber slab 2 cm thick, 0.045 m3/m2</v>
      </c>
      <c r="C41" s="5" t="s">
        <v>51</v>
      </c>
      <c r="D41" s="72">
        <f>((0.6*0.02 + 0.3*0.05)*'Embodied Carbon Factors'!D7)/(0.6)</f>
        <v>7.29</v>
      </c>
      <c r="E41" s="72">
        <f>((0.6*0.02 + 0.3*0.05)*'Embodied Carbon Factors'!E7)/(0.6)</f>
        <v>4.8770100000000003</v>
      </c>
      <c r="F41" s="72">
        <f>((0.6*0.02 + 0.3*0.05)*J8)/(0.6)</f>
        <v>28.800000000000004</v>
      </c>
      <c r="G41" s="79">
        <v>0.1</v>
      </c>
      <c r="H41" s="7"/>
      <c r="I41" s="7"/>
      <c r="J41" s="7"/>
      <c r="K41" s="7"/>
      <c r="L41" s="7"/>
    </row>
    <row r="42" spans="1:12" ht="15" customHeight="1" x14ac:dyDescent="0.15">
      <c r="A42" s="48" t="s">
        <v>174</v>
      </c>
      <c r="B42" s="7" t="str">
        <f t="shared" si="0"/>
        <v>timber joist 30x5 cm spaced at 0.6 m one way (34% volumetric ratio), solid RC slab of 5 cm thickness (66% volumetric ratio), 90 kg of steel per cubic meter (1.15% volumetric ratio), 0.075 m3/m2</v>
      </c>
      <c r="C42" s="5" t="s">
        <v>51</v>
      </c>
      <c r="D42" s="72">
        <f>(0.9885*0.6*0.05*'Embodied Carbon Factors'!D2 + 90*0.6*0.05*'Embodied Carbon Factors'!D3 + 0.3*0.05*'Embodied Carbon Factors'!D7)/(0.6)</f>
        <v>21.354675000000004</v>
      </c>
      <c r="E42" s="72">
        <f>SQRT((0.9885*0.6*0.05*'Embodied Carbon Factors'!E2)^2 + (90*0.6*0.05*'Embodied Carbon Factors'!E3)^2 + (0.3*0.05*'Embodied Carbon Factors'!E7)^2)/(0.6)</f>
        <v>4.5408591704712666</v>
      </c>
      <c r="F42" s="72">
        <f>(0.9885*0.6*0.05*J2 + (1-0.9885)*0.6*0.05*J3 + 0.3*0.05*J8)/(0.6)</f>
        <v>139.13374999999999</v>
      </c>
      <c r="G42" s="79">
        <v>0.1</v>
      </c>
      <c r="H42" s="7"/>
      <c r="I42" s="7"/>
      <c r="J42" s="7"/>
      <c r="K42" s="7"/>
      <c r="L42" s="7"/>
    </row>
    <row r="43" spans="1:12" s="47" customFormat="1" ht="15" customHeight="1" x14ac:dyDescent="0.15">
      <c r="A43" s="46" t="s">
        <v>175</v>
      </c>
      <c r="B43" s="7" t="s">
        <v>176</v>
      </c>
      <c r="C43" s="5" t="s">
        <v>51</v>
      </c>
      <c r="D43" s="72">
        <f>'Embodied Carbon Factors'!D27 + 'Embodied Carbon Factors'!D5*2</f>
        <v>7.28</v>
      </c>
      <c r="E43" s="72">
        <f>SQRT(('Embodied Carbon Factors'!E27)^2 + ('Embodied Carbon Factors'!E5*2)^2)</f>
        <v>1.6953170794869024</v>
      </c>
      <c r="F43" s="72">
        <v>27</v>
      </c>
      <c r="G43" s="79">
        <v>0.04</v>
      </c>
      <c r="H43" s="48"/>
      <c r="I43" s="48"/>
      <c r="J43" s="48"/>
      <c r="K43" s="48"/>
      <c r="L43" s="48"/>
    </row>
    <row r="44" spans="1:12" s="47" customFormat="1" ht="15" customHeight="1" x14ac:dyDescent="0.15">
      <c r="A44" s="46" t="s">
        <v>177</v>
      </c>
      <c r="B44" s="7"/>
      <c r="C44" s="5" t="s">
        <v>51</v>
      </c>
      <c r="D44" s="72">
        <f>'Embodied Carbon Factors'!D26</f>
        <v>12.1</v>
      </c>
      <c r="E44" s="72">
        <f>'Embodied Carbon Factors'!E26</f>
        <v>4.05</v>
      </c>
      <c r="F44" s="72">
        <v>0</v>
      </c>
      <c r="G44" s="79">
        <v>0.06</v>
      </c>
      <c r="H44" s="48"/>
      <c r="I44" s="48"/>
      <c r="J44" s="48"/>
      <c r="K44" s="48"/>
      <c r="L44" s="48"/>
    </row>
    <row r="45" spans="1:12" ht="15" customHeight="1" x14ac:dyDescent="0.15">
      <c r="A45" s="58" t="s">
        <v>74</v>
      </c>
      <c r="B45" s="4" t="s">
        <v>75</v>
      </c>
      <c r="C45" s="5" t="str">
        <f>'Embodied Carbon Factors'!C33</f>
        <v>m2</v>
      </c>
      <c r="D45" s="72">
        <f>'Embodied Carbon Factors'!D33</f>
        <v>20.108447222222225</v>
      </c>
      <c r="E45" s="72">
        <f>'Embodied Carbon Factors'!E33</f>
        <v>7.0161266649457943</v>
      </c>
      <c r="F45" s="72">
        <v>0</v>
      </c>
      <c r="G45" s="81">
        <v>0.01</v>
      </c>
      <c r="H45" s="7"/>
      <c r="I45" s="7"/>
      <c r="J45" s="7"/>
      <c r="K45" s="7"/>
      <c r="L45" s="7"/>
    </row>
    <row r="46" spans="1:12" ht="15" customHeight="1" x14ac:dyDescent="0.15">
      <c r="A46" s="46" t="s">
        <v>178</v>
      </c>
      <c r="B46" s="4" t="s">
        <v>75</v>
      </c>
      <c r="C46" s="5" t="str">
        <f t="shared" ref="C46:F47" si="2">C45</f>
        <v>m2</v>
      </c>
      <c r="D46" s="72">
        <f t="shared" si="2"/>
        <v>20.108447222222225</v>
      </c>
      <c r="E46" s="72">
        <f t="shared" si="2"/>
        <v>7.0161266649457943</v>
      </c>
      <c r="F46" s="72">
        <f t="shared" si="2"/>
        <v>0</v>
      </c>
      <c r="G46" s="81">
        <v>0.01</v>
      </c>
      <c r="H46" s="7"/>
      <c r="I46" s="7"/>
      <c r="J46" s="7"/>
      <c r="K46" s="7"/>
      <c r="L46" s="7"/>
    </row>
    <row r="47" spans="1:12" ht="15" customHeight="1" x14ac:dyDescent="0.15">
      <c r="A47" s="46" t="s">
        <v>179</v>
      </c>
      <c r="B47" s="4" t="s">
        <v>75</v>
      </c>
      <c r="C47" s="5" t="str">
        <f t="shared" si="2"/>
        <v>m2</v>
      </c>
      <c r="D47" s="72">
        <f t="shared" si="2"/>
        <v>20.108447222222225</v>
      </c>
      <c r="E47" s="72">
        <f t="shared" si="2"/>
        <v>7.0161266649457943</v>
      </c>
      <c r="F47" s="72">
        <f t="shared" si="2"/>
        <v>0</v>
      </c>
      <c r="G47" s="81">
        <v>0.01</v>
      </c>
      <c r="H47" s="7"/>
      <c r="I47" s="7"/>
      <c r="J47" s="7"/>
      <c r="K47" s="7"/>
      <c r="L47" s="7"/>
    </row>
    <row r="48" spans="1:12" ht="15" customHeight="1" x14ac:dyDescent="0.15">
      <c r="A48" s="48" t="s">
        <v>180</v>
      </c>
      <c r="B48" s="7"/>
      <c r="C48" s="5" t="s">
        <v>51</v>
      </c>
      <c r="D48" s="72">
        <f>'Embodied Carbon Factors'!D27</f>
        <v>2.2400000000000002</v>
      </c>
      <c r="E48" s="72">
        <f>'Embodied Carbon Factors'!E27</f>
        <v>1.29</v>
      </c>
      <c r="F48" s="76">
        <v>0</v>
      </c>
      <c r="G48" s="79">
        <v>0.04</v>
      </c>
      <c r="H48" s="7"/>
      <c r="I48" s="7"/>
      <c r="J48" s="7"/>
      <c r="K48" s="7"/>
      <c r="L48" s="7"/>
    </row>
    <row r="49" spans="1:12" ht="15" customHeight="1" x14ac:dyDescent="0.15">
      <c r="A49" s="48" t="s">
        <v>181</v>
      </c>
      <c r="B49" s="7" t="s">
        <v>182</v>
      </c>
      <c r="C49" s="5" t="s">
        <v>131</v>
      </c>
      <c r="D49" s="72">
        <f>'Embodied Carbon Factors'!D5*20</f>
        <v>50.4</v>
      </c>
      <c r="E49" s="72">
        <f>'Embodied Carbon Factors'!E5*20</f>
        <v>11</v>
      </c>
      <c r="F49" s="72">
        <v>0</v>
      </c>
      <c r="G49" s="79">
        <v>0.01</v>
      </c>
      <c r="H49" s="7"/>
      <c r="I49" s="7"/>
      <c r="J49" s="7"/>
      <c r="K49" s="7"/>
      <c r="L49" s="7"/>
    </row>
    <row r="50" spans="1:12" ht="15" customHeight="1" x14ac:dyDescent="0.15">
      <c r="A50" s="48" t="s">
        <v>183</v>
      </c>
      <c r="B50" s="7" t="s">
        <v>184</v>
      </c>
      <c r="C50" s="5" t="s">
        <v>2</v>
      </c>
      <c r="D50" s="72">
        <f>'Embodied Carbon Factors'!D2*4.8</f>
        <v>1300.8</v>
      </c>
      <c r="E50" s="72">
        <f>'Embodied Carbon Factors'!E2*4.8</f>
        <v>252.35519999999997</v>
      </c>
      <c r="F50" s="72">
        <f>4.8*2500</f>
        <v>12000</v>
      </c>
      <c r="G50" s="79">
        <v>0.05</v>
      </c>
      <c r="H50" s="7"/>
      <c r="I50" s="7"/>
      <c r="J50" s="7"/>
      <c r="K50" s="7"/>
      <c r="L50" s="7"/>
    </row>
    <row r="51" spans="1:12" ht="15" customHeight="1" x14ac:dyDescent="0.15">
      <c r="A51" s="48" t="s">
        <v>185</v>
      </c>
      <c r="B51" s="7" t="s">
        <v>186</v>
      </c>
      <c r="C51" s="5" t="s">
        <v>2</v>
      </c>
      <c r="D51" s="72">
        <f>'Embodied Carbon Factors'!D7*4.8</f>
        <v>777.6</v>
      </c>
      <c r="E51" s="72">
        <f>'Embodied Carbon Factors'!E7*4.8</f>
        <v>520.21439999999996</v>
      </c>
      <c r="F51" s="72">
        <f>4.8*J8</f>
        <v>3072</v>
      </c>
      <c r="G51" s="79">
        <v>0.02</v>
      </c>
      <c r="H51" s="7"/>
      <c r="I51" s="7"/>
      <c r="J51" s="7"/>
      <c r="K51" s="7"/>
      <c r="L51" s="7"/>
    </row>
    <row r="52" spans="1:12" ht="15" customHeight="1" x14ac:dyDescent="0.15">
      <c r="A52" s="46" t="s">
        <v>187</v>
      </c>
      <c r="B52" s="7"/>
      <c r="C52" s="5" t="s">
        <v>2</v>
      </c>
      <c r="D52" s="72">
        <f>'Embodied Carbon Factors'!D36</f>
        <v>10046.482307904762</v>
      </c>
      <c r="E52" s="72">
        <f>'Embodied Carbon Factors'!E36</f>
        <v>3060.4595967217806</v>
      </c>
      <c r="F52" s="72">
        <v>0</v>
      </c>
      <c r="G52" s="79">
        <v>0.05</v>
      </c>
      <c r="H52" s="7"/>
      <c r="I52" s="7"/>
      <c r="J52" s="7"/>
      <c r="K52" s="7"/>
      <c r="L52" s="7"/>
    </row>
    <row r="53" spans="1:12" ht="15" customHeight="1" x14ac:dyDescent="0.15">
      <c r="A53" s="46" t="s">
        <v>188</v>
      </c>
      <c r="B53" s="7"/>
      <c r="C53" s="5" t="s">
        <v>2</v>
      </c>
      <c r="D53" s="72">
        <f>'Embodied Carbon Factors'!D37</f>
        <v>56468.178547759941</v>
      </c>
      <c r="E53" s="72">
        <f>'Embodied Carbon Factors'!E37</f>
        <v>27957.832926250823</v>
      </c>
      <c r="F53" s="72">
        <v>0</v>
      </c>
      <c r="G53" s="79">
        <v>0.05</v>
      </c>
      <c r="H53" s="7"/>
      <c r="I53" s="7"/>
      <c r="J53" s="7"/>
      <c r="K53" s="7"/>
      <c r="L53" s="7"/>
    </row>
    <row r="54" spans="1:12" ht="15" customHeight="1" x14ac:dyDescent="0.15">
      <c r="A54" s="46" t="s">
        <v>189</v>
      </c>
      <c r="C54" s="5" t="str">
        <f>C53</f>
        <v>unit</v>
      </c>
      <c r="D54" s="72">
        <f>D53</f>
        <v>56468.178547759941</v>
      </c>
      <c r="E54" s="72">
        <f>E53</f>
        <v>27957.832926250823</v>
      </c>
      <c r="F54" s="72">
        <f>F53</f>
        <v>0</v>
      </c>
      <c r="G54" s="79">
        <v>0.05</v>
      </c>
      <c r="H54" s="7"/>
      <c r="I54" s="7"/>
      <c r="J54" s="7"/>
      <c r="K54" s="7"/>
      <c r="L54" s="7"/>
    </row>
    <row r="55" spans="1:12" ht="15" customHeight="1" x14ac:dyDescent="0.15">
      <c r="A55" s="46" t="s">
        <v>190</v>
      </c>
      <c r="B55" s="7" t="s">
        <v>191</v>
      </c>
      <c r="C55" s="5" t="s">
        <v>131</v>
      </c>
      <c r="D55" s="72">
        <f>'Embodied Carbon Factors'!D35*1</f>
        <v>2.7279607001029276</v>
      </c>
      <c r="E55" s="72">
        <f>'Embodied Carbon Factors'!E35*1</f>
        <v>2.2174432112584559</v>
      </c>
      <c r="F55" s="72">
        <v>0</v>
      </c>
      <c r="G55" s="79">
        <v>0.05</v>
      </c>
      <c r="H55" s="7"/>
      <c r="I55" s="7"/>
      <c r="J55" s="7"/>
      <c r="K55" s="7"/>
      <c r="L55" s="7"/>
    </row>
    <row r="56" spans="1:12" ht="15" customHeight="1" x14ac:dyDescent="0.15">
      <c r="A56" s="46" t="s">
        <v>192</v>
      </c>
      <c r="B56" s="7" t="s">
        <v>193</v>
      </c>
      <c r="C56" s="5" t="s">
        <v>131</v>
      </c>
      <c r="D56" s="72">
        <f>'Embodied Carbon Factors'!D35*3.5</f>
        <v>9.5478624503602472</v>
      </c>
      <c r="E56" s="72">
        <f>'Embodied Carbon Factors'!E35*3.5</f>
        <v>7.7610512394045958</v>
      </c>
      <c r="F56" s="76">
        <v>0</v>
      </c>
      <c r="G56" s="79">
        <v>0.05</v>
      </c>
      <c r="H56" s="47"/>
      <c r="I56" s="47"/>
      <c r="J56" s="47"/>
      <c r="K56" s="47"/>
      <c r="L56" s="7"/>
    </row>
    <row r="57" spans="1:12" ht="15" customHeight="1" x14ac:dyDescent="0.15">
      <c r="A57" s="47" t="s">
        <v>194</v>
      </c>
      <c r="B57" s="49" t="str">
        <f t="shared" ref="B57:F60" si="3">B55</f>
        <v>1 kg/m</v>
      </c>
      <c r="C57" s="50" t="str">
        <f t="shared" si="3"/>
        <v>m</v>
      </c>
      <c r="D57" s="78">
        <f t="shared" si="3"/>
        <v>2.7279607001029276</v>
      </c>
      <c r="E57" s="78">
        <f t="shared" si="3"/>
        <v>2.2174432112584559</v>
      </c>
      <c r="F57" s="78">
        <f t="shared" si="3"/>
        <v>0</v>
      </c>
      <c r="G57" s="79">
        <v>0.05</v>
      </c>
      <c r="H57" s="47"/>
      <c r="I57" s="47"/>
      <c r="J57" s="47"/>
      <c r="K57" s="47"/>
      <c r="L57" s="7"/>
    </row>
    <row r="58" spans="1:12" ht="15" customHeight="1" x14ac:dyDescent="0.15">
      <c r="A58" s="47" t="s">
        <v>195</v>
      </c>
      <c r="B58" s="49" t="str">
        <f t="shared" si="3"/>
        <v>3.5 kg/m</v>
      </c>
      <c r="C58" s="50" t="str">
        <f t="shared" si="3"/>
        <v>m</v>
      </c>
      <c r="D58" s="78">
        <f t="shared" si="3"/>
        <v>9.5478624503602472</v>
      </c>
      <c r="E58" s="78">
        <f t="shared" si="3"/>
        <v>7.7610512394045958</v>
      </c>
      <c r="F58" s="78">
        <f t="shared" si="3"/>
        <v>0</v>
      </c>
      <c r="G58" s="79">
        <v>0.05</v>
      </c>
      <c r="H58" s="47"/>
      <c r="I58" s="47"/>
      <c r="J58" s="47"/>
      <c r="K58" s="47"/>
      <c r="L58" s="7"/>
    </row>
    <row r="59" spans="1:12" ht="15" customHeight="1" x14ac:dyDescent="0.15">
      <c r="A59" s="47" t="s">
        <v>196</v>
      </c>
      <c r="B59" s="4" t="str">
        <f t="shared" si="3"/>
        <v>1 kg/m</v>
      </c>
      <c r="C59" s="5" t="str">
        <f t="shared" si="3"/>
        <v>m</v>
      </c>
      <c r="D59" s="72">
        <f t="shared" si="3"/>
        <v>2.7279607001029276</v>
      </c>
      <c r="E59" s="72">
        <f t="shared" si="3"/>
        <v>2.2174432112584559</v>
      </c>
      <c r="F59" s="72">
        <f t="shared" si="3"/>
        <v>0</v>
      </c>
      <c r="G59" s="79">
        <v>0.05</v>
      </c>
      <c r="H59" s="47"/>
      <c r="I59" s="47"/>
      <c r="J59" s="47"/>
      <c r="K59" s="47"/>
      <c r="L59" s="7"/>
    </row>
    <row r="60" spans="1:12" ht="15" customHeight="1" x14ac:dyDescent="0.15">
      <c r="A60" s="47" t="s">
        <v>197</v>
      </c>
      <c r="B60" s="4" t="str">
        <f t="shared" si="3"/>
        <v>3.5 kg/m</v>
      </c>
      <c r="C60" s="5" t="str">
        <f t="shared" si="3"/>
        <v>m</v>
      </c>
      <c r="D60" s="72">
        <f t="shared" si="3"/>
        <v>9.5478624503602472</v>
      </c>
      <c r="E60" s="72">
        <f t="shared" si="3"/>
        <v>7.7610512394045958</v>
      </c>
      <c r="F60" s="72">
        <f t="shared" si="3"/>
        <v>0</v>
      </c>
      <c r="G60" s="79">
        <v>0.05</v>
      </c>
      <c r="H60" s="47"/>
      <c r="I60" s="47"/>
      <c r="J60" s="47"/>
      <c r="K60" s="47"/>
      <c r="L60" s="7"/>
    </row>
    <row r="61" spans="1:12" ht="15" customHeight="1" x14ac:dyDescent="0.15">
      <c r="A61" s="47" t="s">
        <v>198</v>
      </c>
      <c r="B61" s="4" t="str">
        <f>B58</f>
        <v>3.5 kg/m</v>
      </c>
      <c r="C61" s="5" t="str">
        <f>C58</f>
        <v>m</v>
      </c>
      <c r="D61" s="72">
        <f>D58</f>
        <v>9.5478624503602472</v>
      </c>
      <c r="E61" s="72">
        <f>E58</f>
        <v>7.7610512394045958</v>
      </c>
      <c r="F61" s="72">
        <f>F58</f>
        <v>0</v>
      </c>
      <c r="G61" s="79">
        <v>0.05</v>
      </c>
      <c r="H61" s="47"/>
      <c r="I61" s="47"/>
      <c r="J61" s="47"/>
      <c r="K61" s="47"/>
      <c r="L61" s="7"/>
    </row>
    <row r="62" spans="1:12" ht="15" customHeight="1" x14ac:dyDescent="0.15">
      <c r="A62" s="47" t="s">
        <v>199</v>
      </c>
      <c r="B62" s="4" t="str">
        <f>B58</f>
        <v>3.5 kg/m</v>
      </c>
      <c r="C62" s="5" t="str">
        <f>C58</f>
        <v>m</v>
      </c>
      <c r="D62" s="72">
        <f>D58</f>
        <v>9.5478624503602472</v>
      </c>
      <c r="E62" s="72">
        <f>E58</f>
        <v>7.7610512394045958</v>
      </c>
      <c r="F62" s="72">
        <f>F58</f>
        <v>0</v>
      </c>
      <c r="G62" s="79">
        <v>0.05</v>
      </c>
      <c r="H62" s="47"/>
      <c r="I62" s="47"/>
      <c r="J62" s="47"/>
      <c r="K62" s="47"/>
      <c r="L62" s="7"/>
    </row>
    <row r="63" spans="1:12" ht="15" customHeight="1" x14ac:dyDescent="0.15">
      <c r="A63" s="47" t="s">
        <v>200</v>
      </c>
      <c r="B63" s="4" t="str">
        <f t="shared" ref="B63:F64" si="4">B57</f>
        <v>1 kg/m</v>
      </c>
      <c r="C63" s="5" t="str">
        <f t="shared" si="4"/>
        <v>m</v>
      </c>
      <c r="D63" s="72">
        <f t="shared" si="4"/>
        <v>2.7279607001029276</v>
      </c>
      <c r="E63" s="72">
        <f t="shared" si="4"/>
        <v>2.2174432112584559</v>
      </c>
      <c r="F63" s="72">
        <f t="shared" si="4"/>
        <v>0</v>
      </c>
      <c r="G63" s="79">
        <v>0.05</v>
      </c>
      <c r="H63" s="47"/>
      <c r="I63" s="47"/>
      <c r="J63" s="47"/>
      <c r="K63" s="47"/>
      <c r="L63" s="7"/>
    </row>
    <row r="64" spans="1:12" ht="15" customHeight="1" x14ac:dyDescent="0.15">
      <c r="A64" s="47" t="s">
        <v>201</v>
      </c>
      <c r="B64" s="4" t="str">
        <f t="shared" si="4"/>
        <v>3.5 kg/m</v>
      </c>
      <c r="C64" s="5" t="str">
        <f t="shared" si="4"/>
        <v>m</v>
      </c>
      <c r="D64" s="72">
        <f t="shared" si="4"/>
        <v>9.5478624503602472</v>
      </c>
      <c r="E64" s="72">
        <f t="shared" si="4"/>
        <v>7.7610512394045958</v>
      </c>
      <c r="F64" s="72">
        <f t="shared" si="4"/>
        <v>0</v>
      </c>
      <c r="G64" s="79">
        <v>0.05</v>
      </c>
      <c r="H64" s="47"/>
      <c r="I64" s="47"/>
      <c r="J64" s="47"/>
      <c r="K64" s="47"/>
      <c r="L64" s="7"/>
    </row>
    <row r="65" spans="1:12" ht="15" customHeight="1" x14ac:dyDescent="0.15">
      <c r="A65" s="47" t="s">
        <v>202</v>
      </c>
      <c r="B65" s="4" t="str">
        <f>B58</f>
        <v>3.5 kg/m</v>
      </c>
      <c r="C65" s="5" t="str">
        <f>C58</f>
        <v>m</v>
      </c>
      <c r="D65" s="72">
        <f>D58</f>
        <v>9.5478624503602472</v>
      </c>
      <c r="E65" s="72">
        <f>E58</f>
        <v>7.7610512394045958</v>
      </c>
      <c r="F65" s="72">
        <f>F58</f>
        <v>0</v>
      </c>
      <c r="G65" s="79">
        <v>0.05</v>
      </c>
      <c r="H65" s="47"/>
      <c r="I65" s="47"/>
      <c r="J65" s="47"/>
      <c r="K65" s="47"/>
      <c r="L65" s="7"/>
    </row>
    <row r="66" spans="1:12" ht="15" customHeight="1" x14ac:dyDescent="0.15">
      <c r="A66" s="47" t="s">
        <v>203</v>
      </c>
      <c r="B66" s="4" t="str">
        <f t="shared" ref="B66:F67" si="5">B57</f>
        <v>1 kg/m</v>
      </c>
      <c r="C66" s="5" t="str">
        <f t="shared" si="5"/>
        <v>m</v>
      </c>
      <c r="D66" s="72">
        <f t="shared" si="5"/>
        <v>2.7279607001029276</v>
      </c>
      <c r="E66" s="72">
        <f t="shared" si="5"/>
        <v>2.2174432112584559</v>
      </c>
      <c r="F66" s="72">
        <f t="shared" si="5"/>
        <v>0</v>
      </c>
      <c r="G66" s="79">
        <v>0.05</v>
      </c>
      <c r="H66" s="47"/>
      <c r="I66" s="47"/>
      <c r="J66" s="47"/>
      <c r="K66" s="47"/>
      <c r="L66" s="7"/>
    </row>
    <row r="67" spans="1:12" ht="15" customHeight="1" x14ac:dyDescent="0.15">
      <c r="A67" s="47" t="s">
        <v>204</v>
      </c>
      <c r="B67" s="4" t="str">
        <f t="shared" si="5"/>
        <v>3.5 kg/m</v>
      </c>
      <c r="C67" s="5" t="str">
        <f t="shared" si="5"/>
        <v>m</v>
      </c>
      <c r="D67" s="72">
        <f t="shared" si="5"/>
        <v>9.5478624503602472</v>
      </c>
      <c r="E67" s="72">
        <f t="shared" si="5"/>
        <v>7.7610512394045958</v>
      </c>
      <c r="F67" s="72">
        <f t="shared" si="5"/>
        <v>0</v>
      </c>
      <c r="G67" s="79">
        <v>0.05</v>
      </c>
      <c r="H67" s="47"/>
      <c r="I67" s="47"/>
      <c r="J67" s="47"/>
      <c r="K67" s="47"/>
      <c r="L67" s="7"/>
    </row>
    <row r="68" spans="1:12" ht="15" customHeight="1" x14ac:dyDescent="0.15">
      <c r="A68" s="47" t="s">
        <v>205</v>
      </c>
      <c r="B68" s="4" t="str">
        <f t="shared" ref="B68:F69" si="6">B57</f>
        <v>1 kg/m</v>
      </c>
      <c r="C68" s="5" t="str">
        <f t="shared" si="6"/>
        <v>m</v>
      </c>
      <c r="D68" s="72">
        <f t="shared" si="6"/>
        <v>2.7279607001029276</v>
      </c>
      <c r="E68" s="72">
        <f t="shared" si="6"/>
        <v>2.2174432112584559</v>
      </c>
      <c r="F68" s="72">
        <f t="shared" si="6"/>
        <v>0</v>
      </c>
      <c r="G68" s="79">
        <v>0.05</v>
      </c>
      <c r="H68" s="47"/>
      <c r="I68" s="47"/>
      <c r="J68" s="47"/>
      <c r="K68" s="47"/>
      <c r="L68" s="7"/>
    </row>
    <row r="69" spans="1:12" ht="15" customHeight="1" x14ac:dyDescent="0.15">
      <c r="A69" s="47" t="s">
        <v>206</v>
      </c>
      <c r="B69" s="4" t="str">
        <f t="shared" si="6"/>
        <v>3.5 kg/m</v>
      </c>
      <c r="C69" s="5" t="str">
        <f t="shared" si="6"/>
        <v>m</v>
      </c>
      <c r="D69" s="72">
        <f t="shared" si="6"/>
        <v>9.5478624503602472</v>
      </c>
      <c r="E69" s="72">
        <f t="shared" si="6"/>
        <v>7.7610512394045958</v>
      </c>
      <c r="F69" s="72">
        <f t="shared" si="6"/>
        <v>0</v>
      </c>
      <c r="G69" s="79">
        <v>0.05</v>
      </c>
      <c r="L69" s="7"/>
    </row>
    <row r="70" spans="1:12" ht="15" customHeight="1" x14ac:dyDescent="0.15">
      <c r="A70" s="46" t="s">
        <v>80</v>
      </c>
      <c r="B70" s="7"/>
      <c r="C70" s="5" t="str">
        <f>'Embodied Carbon Factors'!C38</f>
        <v>m2 built area</v>
      </c>
      <c r="D70" s="72">
        <f>'Embodied Carbon Factors'!D38</f>
        <v>35.121724137931032</v>
      </c>
      <c r="E70" s="72">
        <f>'Embodied Carbon Factors'!E38</f>
        <v>17.176351489551294</v>
      </c>
      <c r="F70" s="72">
        <v>0</v>
      </c>
      <c r="G70" s="79">
        <v>0.05</v>
      </c>
      <c r="H70" s="7"/>
      <c r="I70" s="7"/>
      <c r="J70" s="7"/>
      <c r="K70" s="7"/>
      <c r="L70" s="7"/>
    </row>
    <row r="71" spans="1:12" ht="15" customHeight="1" x14ac:dyDescent="0.15">
      <c r="A71" s="46" t="s">
        <v>82</v>
      </c>
      <c r="B71" s="7"/>
      <c r="C71" s="5" t="str">
        <f>'Embodied Carbon Factors'!C39</f>
        <v>m2 built area</v>
      </c>
      <c r="D71" s="72">
        <f>'Embodied Carbon Factors'!D39</f>
        <v>9.9760303300624429</v>
      </c>
      <c r="E71" s="72">
        <f>'Embodied Carbon Factors'!E39</f>
        <v>4.7025660313544355</v>
      </c>
      <c r="F71" s="72">
        <v>0</v>
      </c>
      <c r="G71" s="79">
        <v>0.05</v>
      </c>
      <c r="H71" s="7"/>
      <c r="I71" s="7"/>
      <c r="J71" s="7"/>
      <c r="K71" s="7"/>
      <c r="L71" s="7"/>
    </row>
    <row r="72" spans="1:12" ht="15" customHeight="1" x14ac:dyDescent="0.15">
      <c r="A72" s="48" t="s">
        <v>83</v>
      </c>
      <c r="B72" s="7"/>
      <c r="C72" s="5" t="str">
        <f>'Embodied Carbon Factors'!C40</f>
        <v>m2 built area</v>
      </c>
      <c r="D72" s="72">
        <f>'Embodied Carbon Factors'!D40</f>
        <v>4.9858757062146895</v>
      </c>
      <c r="E72" s="72">
        <f>'Embodied Carbon Factors'!E40</f>
        <v>1.0002991987524512</v>
      </c>
      <c r="F72" s="72">
        <v>0</v>
      </c>
      <c r="G72" s="79">
        <v>0.05</v>
      </c>
      <c r="H72" s="7"/>
      <c r="I72" s="7"/>
      <c r="J72" s="7"/>
      <c r="K72" s="7"/>
      <c r="L72" s="7"/>
    </row>
    <row r="73" spans="1:12" ht="15" customHeight="1" x14ac:dyDescent="0.15">
      <c r="H73" s="7"/>
      <c r="I73" s="7"/>
      <c r="J73" s="7"/>
      <c r="K73" s="7"/>
      <c r="L73" s="7"/>
    </row>
    <row r="74" spans="1:12" ht="15" customHeight="1" x14ac:dyDescent="0.15">
      <c r="H74" s="7"/>
      <c r="I74" s="7"/>
      <c r="J74" s="7"/>
      <c r="K74" s="7"/>
      <c r="L74" s="7"/>
    </row>
    <row r="75" spans="1:12" ht="15" customHeight="1" x14ac:dyDescent="0.15">
      <c r="H75" s="7"/>
      <c r="I75" s="7"/>
      <c r="J75" s="7"/>
      <c r="K75" s="7"/>
      <c r="L75" s="7"/>
    </row>
    <row r="76" spans="1:12" ht="15" customHeight="1" x14ac:dyDescent="0.15">
      <c r="H76" s="7"/>
      <c r="I76" s="7"/>
      <c r="J76" s="7"/>
      <c r="K76" s="7"/>
      <c r="L76" s="7"/>
    </row>
    <row r="77" spans="1:12" ht="15" customHeight="1" x14ac:dyDescent="0.15">
      <c r="H77" s="7"/>
      <c r="I77" s="7"/>
      <c r="J77" s="7"/>
      <c r="K77" s="7"/>
      <c r="L77" s="7"/>
    </row>
    <row r="78" spans="1:12" ht="15" customHeight="1" x14ac:dyDescent="0.15">
      <c r="H78" s="7"/>
      <c r="I78" s="7"/>
      <c r="J78" s="7"/>
      <c r="K78" s="7"/>
      <c r="L78" s="7"/>
    </row>
    <row r="79" spans="1:12" ht="15" customHeight="1" x14ac:dyDescent="0.15">
      <c r="H79" s="7"/>
      <c r="I79" s="7"/>
      <c r="J79" s="7"/>
      <c r="K79" s="7"/>
      <c r="L79" s="7"/>
    </row>
    <row r="80" spans="1:12" ht="15" customHeight="1" x14ac:dyDescent="0.15">
      <c r="H80" s="7"/>
      <c r="I80" s="7"/>
      <c r="J80" s="7"/>
      <c r="K80" s="7"/>
      <c r="L80" s="7"/>
    </row>
    <row r="81" spans="1:12" ht="13" customHeight="1" x14ac:dyDescent="0.15">
      <c r="H81" s="7"/>
      <c r="I81" s="7"/>
      <c r="J81" s="7"/>
      <c r="K81" s="7"/>
      <c r="L81" s="7"/>
    </row>
    <row r="82" spans="1:12" ht="13" customHeight="1" x14ac:dyDescent="0.15">
      <c r="H82" s="7"/>
      <c r="I82" s="7"/>
      <c r="J82" s="7"/>
      <c r="K82" s="7"/>
      <c r="L82" s="7"/>
    </row>
    <row r="83" spans="1:12" ht="13" customHeight="1" x14ac:dyDescent="0.15">
      <c r="H83" s="7"/>
      <c r="I83" s="7"/>
      <c r="J83" s="7"/>
      <c r="K83" s="7"/>
      <c r="L83" s="7"/>
    </row>
    <row r="84" spans="1:12" ht="13" customHeight="1" x14ac:dyDescent="0.15">
      <c r="H84" s="7"/>
      <c r="I84" s="7"/>
      <c r="J84" s="7"/>
      <c r="K84" s="7"/>
      <c r="L84" s="7"/>
    </row>
    <row r="85" spans="1:12" ht="13" customHeight="1" x14ac:dyDescent="0.15">
      <c r="H85" s="7"/>
      <c r="I85" s="7"/>
      <c r="J85" s="7"/>
      <c r="K85" s="7"/>
      <c r="L85" s="7"/>
    </row>
    <row r="86" spans="1:12" ht="13" customHeight="1" x14ac:dyDescent="0.15">
      <c r="H86" s="7"/>
      <c r="I86" s="7"/>
      <c r="J86" s="7"/>
      <c r="K86" s="7"/>
      <c r="L86" s="7"/>
    </row>
    <row r="87" spans="1:12" ht="13" customHeight="1" x14ac:dyDescent="0.15">
      <c r="H87" s="7"/>
      <c r="I87" s="7"/>
      <c r="J87" s="7"/>
      <c r="K87" s="7"/>
      <c r="L87" s="7"/>
    </row>
    <row r="88" spans="1:12" ht="13" customHeight="1" x14ac:dyDescent="0.15">
      <c r="H88" s="7"/>
      <c r="I88" s="7"/>
      <c r="J88" s="7"/>
      <c r="K88" s="7"/>
      <c r="L88" s="7"/>
    </row>
    <row r="89" spans="1:12" ht="13" customHeight="1" x14ac:dyDescent="0.15">
      <c r="H89" s="7"/>
      <c r="I89" s="7"/>
      <c r="J89" s="7"/>
      <c r="K89" s="7"/>
      <c r="L89" s="7"/>
    </row>
    <row r="90" spans="1:12" ht="13" customHeight="1" x14ac:dyDescent="0.15">
      <c r="A90" s="48"/>
      <c r="B90" s="7"/>
      <c r="C90" s="5"/>
      <c r="D90" s="5"/>
      <c r="E90" s="5"/>
      <c r="F90" s="5"/>
      <c r="G90" s="7"/>
      <c r="H90" s="7"/>
      <c r="I90" s="7"/>
      <c r="J90" s="7"/>
      <c r="K90" s="7"/>
      <c r="L90" s="7"/>
    </row>
    <row r="91" spans="1:12" ht="13" customHeight="1" x14ac:dyDescent="0.15">
      <c r="A91" s="48"/>
      <c r="B91" s="7"/>
      <c r="C91" s="5"/>
      <c r="D91" s="5"/>
      <c r="E91" s="5"/>
      <c r="F91" s="5"/>
      <c r="G91" s="7"/>
      <c r="H91" s="7"/>
      <c r="I91" s="7"/>
      <c r="J91" s="7"/>
      <c r="K91" s="7"/>
      <c r="L91" s="7"/>
    </row>
    <row r="92" spans="1:12" ht="13" customHeight="1" x14ac:dyDescent="0.15">
      <c r="A92" s="48"/>
      <c r="B92" s="7"/>
      <c r="C92" s="5"/>
      <c r="D92" s="5"/>
      <c r="E92" s="5"/>
      <c r="F92" s="5"/>
      <c r="G92" s="7"/>
      <c r="H92" s="7"/>
      <c r="I92" s="7"/>
      <c r="J92" s="7"/>
      <c r="K92" s="7"/>
      <c r="L92" s="7"/>
    </row>
    <row r="93" spans="1:12" ht="13" customHeight="1" x14ac:dyDescent="0.15">
      <c r="A93" s="48"/>
      <c r="B93" s="7"/>
      <c r="C93" s="5"/>
      <c r="D93" s="5"/>
      <c r="E93" s="5"/>
      <c r="F93" s="5"/>
      <c r="G93" s="7"/>
      <c r="H93" s="7"/>
      <c r="I93" s="7"/>
      <c r="J93" s="7"/>
      <c r="K93" s="7"/>
      <c r="L93" s="7"/>
    </row>
    <row r="94" spans="1:12" ht="13" customHeight="1" x14ac:dyDescent="0.15">
      <c r="A94" s="48"/>
      <c r="B94" s="7"/>
      <c r="C94" s="5"/>
      <c r="D94" s="5"/>
      <c r="E94" s="5"/>
      <c r="F94" s="5"/>
      <c r="G94" s="7"/>
      <c r="H94" s="7"/>
      <c r="I94" s="7"/>
      <c r="J94" s="7"/>
      <c r="K94" s="7"/>
      <c r="L94" s="7"/>
    </row>
    <row r="95" spans="1:12" ht="13" customHeight="1" x14ac:dyDescent="0.15">
      <c r="A95" s="48"/>
      <c r="B95" s="7"/>
      <c r="C95" s="5"/>
      <c r="D95" s="5"/>
      <c r="E95" s="5"/>
      <c r="F95" s="5"/>
      <c r="G95" s="7"/>
      <c r="H95" s="7"/>
      <c r="I95" s="7"/>
      <c r="J95" s="7"/>
      <c r="K95" s="7"/>
      <c r="L95" s="7"/>
    </row>
    <row r="96" spans="1:12" ht="13" customHeight="1" x14ac:dyDescent="0.15">
      <c r="A96" s="48"/>
      <c r="B96" s="7"/>
      <c r="C96" s="5"/>
      <c r="D96" s="5"/>
      <c r="E96" s="5"/>
      <c r="F96" s="5"/>
      <c r="G96" s="7"/>
      <c r="H96" s="7"/>
      <c r="I96" s="7"/>
      <c r="J96" s="7"/>
      <c r="K96" s="7"/>
      <c r="L96" s="7"/>
    </row>
    <row r="97" spans="1:12" ht="13" customHeight="1" x14ac:dyDescent="0.15">
      <c r="A97" s="48"/>
      <c r="B97" s="7"/>
      <c r="C97" s="5"/>
      <c r="D97" s="5"/>
      <c r="E97" s="5"/>
      <c r="F97" s="5"/>
      <c r="G97" s="7"/>
      <c r="H97" s="7"/>
      <c r="I97" s="7"/>
      <c r="J97" s="7"/>
      <c r="K97" s="7"/>
      <c r="L97" s="7"/>
    </row>
    <row r="98" spans="1:12" ht="13" customHeight="1" x14ac:dyDescent="0.15">
      <c r="A98" s="48"/>
      <c r="B98" s="7"/>
      <c r="C98" s="5"/>
      <c r="D98" s="5"/>
      <c r="E98" s="5"/>
      <c r="F98" s="5"/>
      <c r="G98" s="7"/>
      <c r="H98" s="7"/>
      <c r="I98" s="7"/>
      <c r="J98" s="7"/>
      <c r="K98" s="7"/>
      <c r="L98" s="7"/>
    </row>
    <row r="99" spans="1:12" ht="13" customHeight="1" x14ac:dyDescent="0.15">
      <c r="A99" s="48"/>
      <c r="B99" s="7"/>
      <c r="C99" s="5"/>
      <c r="D99" s="5"/>
      <c r="E99" s="5"/>
      <c r="F99" s="5"/>
      <c r="G99" s="7"/>
      <c r="H99" s="7"/>
      <c r="I99" s="7"/>
      <c r="J99" s="7"/>
      <c r="K99" s="7"/>
      <c r="L99" s="7"/>
    </row>
    <row r="100" spans="1:12" ht="13" customHeight="1" x14ac:dyDescent="0.15">
      <c r="A100" s="48"/>
      <c r="B100" s="7"/>
      <c r="C100" s="5"/>
      <c r="D100" s="5"/>
      <c r="E100" s="5"/>
      <c r="F100" s="5"/>
      <c r="G100" s="7"/>
      <c r="H100" s="7"/>
      <c r="I100" s="7"/>
      <c r="J100" s="7"/>
      <c r="K100" s="7"/>
      <c r="L100" s="7"/>
    </row>
    <row r="101" spans="1:12" ht="13" customHeight="1" x14ac:dyDescent="0.15">
      <c r="A101" s="48"/>
      <c r="B101" s="7"/>
      <c r="C101" s="5"/>
      <c r="D101" s="5"/>
      <c r="E101" s="5"/>
      <c r="F101" s="5"/>
      <c r="G101" s="7"/>
      <c r="H101" s="7"/>
      <c r="I101" s="7"/>
      <c r="J101" s="7"/>
      <c r="K101" s="7"/>
      <c r="L101" s="7"/>
    </row>
    <row r="102" spans="1:12" ht="13" customHeight="1" x14ac:dyDescent="0.15">
      <c r="A102" s="48"/>
      <c r="B102" s="7"/>
      <c r="C102" s="5"/>
      <c r="D102" s="5"/>
      <c r="E102" s="5"/>
      <c r="F102" s="5"/>
      <c r="G102" s="7"/>
      <c r="H102" s="7"/>
      <c r="I102" s="7"/>
      <c r="J102" s="7"/>
      <c r="K102" s="7"/>
      <c r="L102" s="7"/>
    </row>
    <row r="103" spans="1:12" ht="13" customHeight="1" x14ac:dyDescent="0.15">
      <c r="A103" s="48"/>
      <c r="B103" s="7"/>
      <c r="C103" s="5"/>
      <c r="D103" s="5"/>
      <c r="E103" s="5"/>
      <c r="F103" s="5"/>
      <c r="G103" s="7"/>
      <c r="H103" s="7"/>
      <c r="I103" s="7"/>
      <c r="J103" s="7"/>
      <c r="K103" s="7"/>
      <c r="L103" s="7"/>
    </row>
    <row r="104" spans="1:12" ht="13" customHeight="1" x14ac:dyDescent="0.15">
      <c r="A104" s="48"/>
      <c r="B104" s="7"/>
      <c r="C104" s="5"/>
      <c r="D104" s="5"/>
      <c r="E104" s="5"/>
      <c r="F104" s="5"/>
      <c r="G104" s="7"/>
      <c r="H104" s="7"/>
      <c r="I104" s="7"/>
      <c r="J104" s="7"/>
      <c r="K104" s="7"/>
      <c r="L104" s="7"/>
    </row>
    <row r="105" spans="1:12" ht="13" customHeight="1" x14ac:dyDescent="0.15">
      <c r="A105" s="48"/>
      <c r="B105" s="7"/>
      <c r="C105" s="5"/>
      <c r="D105" s="5"/>
      <c r="E105" s="5"/>
      <c r="F105" s="5"/>
      <c r="G105" s="7"/>
      <c r="H105" s="7"/>
      <c r="I105" s="7"/>
      <c r="J105" s="7"/>
      <c r="K105" s="7"/>
      <c r="L105" s="7"/>
    </row>
    <row r="106" spans="1:12" ht="13" customHeight="1" x14ac:dyDescent="0.15">
      <c r="A106" s="48"/>
      <c r="B106" s="7"/>
      <c r="C106" s="5"/>
      <c r="D106" s="5"/>
      <c r="E106" s="5"/>
      <c r="F106" s="5"/>
      <c r="G106" s="7"/>
      <c r="H106" s="7"/>
      <c r="I106" s="7"/>
      <c r="J106" s="7"/>
      <c r="K106" s="7"/>
      <c r="L106" s="7"/>
    </row>
    <row r="107" spans="1:12" ht="13" customHeight="1" x14ac:dyDescent="0.15">
      <c r="A107" s="48"/>
      <c r="B107" s="7"/>
      <c r="C107" s="5"/>
      <c r="D107" s="5"/>
      <c r="E107" s="5"/>
      <c r="F107" s="5"/>
      <c r="G107" s="7"/>
      <c r="H107" s="7"/>
      <c r="I107" s="7"/>
      <c r="J107" s="7"/>
      <c r="K107" s="7"/>
      <c r="L107" s="7"/>
    </row>
    <row r="108" spans="1:12" ht="13" customHeight="1" x14ac:dyDescent="0.15">
      <c r="A108" s="48"/>
      <c r="B108" s="7"/>
      <c r="C108" s="5"/>
      <c r="D108" s="5"/>
      <c r="E108" s="5"/>
      <c r="F108" s="5"/>
      <c r="G108" s="7"/>
      <c r="H108" s="7"/>
      <c r="I108" s="7"/>
      <c r="J108" s="7"/>
      <c r="K108" s="7"/>
      <c r="L108" s="7"/>
    </row>
    <row r="109" spans="1:12" ht="13" customHeight="1" x14ac:dyDescent="0.15">
      <c r="A109" s="48"/>
      <c r="B109" s="7"/>
      <c r="C109" s="5"/>
      <c r="D109" s="5"/>
      <c r="E109" s="5"/>
      <c r="F109" s="5"/>
      <c r="G109" s="7"/>
      <c r="H109" s="7"/>
      <c r="I109" s="7"/>
      <c r="J109" s="7"/>
      <c r="K109" s="7"/>
      <c r="L109" s="7"/>
    </row>
    <row r="110" spans="1:12" ht="13" customHeight="1" x14ac:dyDescent="0.15">
      <c r="A110" s="48"/>
      <c r="B110" s="7"/>
      <c r="C110" s="5"/>
      <c r="D110" s="5"/>
      <c r="E110" s="5"/>
      <c r="F110" s="5"/>
      <c r="G110" s="7"/>
      <c r="H110" s="7"/>
      <c r="I110" s="7"/>
      <c r="J110" s="7"/>
      <c r="K110" s="7"/>
      <c r="L110" s="7"/>
    </row>
    <row r="111" spans="1:12" ht="13" customHeight="1" x14ac:dyDescent="0.15">
      <c r="A111" s="48"/>
      <c r="B111" s="7"/>
      <c r="C111" s="5"/>
      <c r="D111" s="5"/>
      <c r="E111" s="5"/>
      <c r="F111" s="5"/>
      <c r="G111" s="7"/>
      <c r="H111" s="7"/>
      <c r="I111" s="7"/>
      <c r="J111" s="7"/>
      <c r="K111" s="7"/>
      <c r="L111" s="7"/>
    </row>
    <row r="112" spans="1:12" ht="13" customHeight="1" x14ac:dyDescent="0.15">
      <c r="A112" s="48"/>
      <c r="B112" s="7"/>
      <c r="C112" s="5"/>
      <c r="D112" s="5"/>
      <c r="E112" s="5"/>
      <c r="F112" s="5"/>
      <c r="G112" s="7"/>
      <c r="H112" s="7"/>
      <c r="I112" s="7"/>
      <c r="J112" s="7"/>
      <c r="K112" s="7"/>
      <c r="L112" s="7"/>
    </row>
    <row r="113" spans="1:12" ht="13" customHeight="1" x14ac:dyDescent="0.15">
      <c r="A113" s="48"/>
      <c r="B113" s="7"/>
      <c r="C113" s="5"/>
      <c r="D113" s="5"/>
      <c r="E113" s="5"/>
      <c r="F113" s="5"/>
      <c r="G113" s="7"/>
      <c r="H113" s="7"/>
      <c r="I113" s="7"/>
      <c r="J113" s="7"/>
      <c r="K113" s="7"/>
      <c r="L113" s="7"/>
    </row>
    <row r="114" spans="1:12" ht="13" customHeight="1" x14ac:dyDescent="0.15">
      <c r="A114" s="48"/>
      <c r="B114" s="7"/>
      <c r="C114" s="5"/>
      <c r="D114" s="5"/>
      <c r="E114" s="5"/>
      <c r="F114" s="5"/>
      <c r="G114" s="7"/>
      <c r="H114" s="7"/>
      <c r="I114" s="7"/>
      <c r="J114" s="7"/>
      <c r="K114" s="7"/>
      <c r="L114" s="7"/>
    </row>
    <row r="115" spans="1:12" ht="13" customHeight="1" x14ac:dyDescent="0.15">
      <c r="A115" s="48"/>
      <c r="B115" s="7"/>
      <c r="C115" s="5"/>
      <c r="D115" s="5"/>
      <c r="E115" s="5"/>
      <c r="F115" s="5"/>
      <c r="G115" s="7"/>
      <c r="H115" s="7"/>
      <c r="I115" s="7"/>
      <c r="J115" s="7"/>
      <c r="K115" s="7"/>
      <c r="L115" s="7"/>
    </row>
    <row r="116" spans="1:12" ht="13" customHeight="1" x14ac:dyDescent="0.15">
      <c r="A116" s="48"/>
      <c r="B116" s="7"/>
      <c r="C116" s="5"/>
      <c r="D116" s="5"/>
      <c r="E116" s="5"/>
      <c r="F116" s="5"/>
      <c r="G116" s="7"/>
      <c r="H116" s="7"/>
      <c r="I116" s="7"/>
      <c r="J116" s="7"/>
      <c r="K116" s="7"/>
      <c r="L116" s="7"/>
    </row>
    <row r="117" spans="1:12" ht="13" customHeight="1" x14ac:dyDescent="0.15">
      <c r="A117" s="48"/>
      <c r="B117" s="7"/>
      <c r="C117" s="5"/>
      <c r="D117" s="5"/>
      <c r="E117" s="5"/>
      <c r="F117" s="5"/>
      <c r="G117" s="7"/>
      <c r="H117" s="7"/>
      <c r="I117" s="7"/>
      <c r="J117" s="7"/>
      <c r="K117" s="7"/>
      <c r="L117" s="7"/>
    </row>
    <row r="118" spans="1:12" ht="13" customHeight="1" x14ac:dyDescent="0.15">
      <c r="A118" s="48"/>
      <c r="B118" s="7"/>
      <c r="C118" s="5"/>
      <c r="D118" s="5"/>
      <c r="E118" s="5"/>
      <c r="F118" s="5"/>
      <c r="G118" s="7"/>
      <c r="H118" s="7"/>
      <c r="I118" s="7"/>
      <c r="J118" s="7"/>
      <c r="K118" s="7"/>
      <c r="L118" s="7"/>
    </row>
    <row r="119" spans="1:12" ht="13" customHeight="1" x14ac:dyDescent="0.15">
      <c r="A119" s="48"/>
      <c r="B119" s="7"/>
      <c r="C119" s="5"/>
      <c r="D119" s="5"/>
      <c r="E119" s="5"/>
      <c r="F119" s="5"/>
      <c r="G119" s="7"/>
      <c r="H119" s="7"/>
      <c r="I119" s="7"/>
      <c r="J119" s="7"/>
      <c r="K119" s="7"/>
      <c r="L119" s="7"/>
    </row>
    <row r="120" spans="1:12" ht="13" customHeight="1" x14ac:dyDescent="0.15">
      <c r="A120" s="48"/>
      <c r="B120" s="7"/>
      <c r="C120" s="5"/>
      <c r="D120" s="5"/>
      <c r="E120" s="5"/>
      <c r="F120" s="5"/>
      <c r="G120" s="7"/>
      <c r="H120" s="7"/>
      <c r="I120" s="7"/>
      <c r="J120" s="7"/>
      <c r="K120" s="7"/>
      <c r="L120" s="7"/>
    </row>
    <row r="121" spans="1:12" ht="13" customHeight="1" x14ac:dyDescent="0.15">
      <c r="A121" s="48"/>
      <c r="B121" s="7"/>
      <c r="C121" s="5"/>
      <c r="D121" s="5"/>
      <c r="E121" s="5"/>
      <c r="F121" s="5"/>
      <c r="G121" s="7"/>
      <c r="H121" s="7"/>
      <c r="I121" s="7"/>
      <c r="J121" s="7"/>
      <c r="K121" s="7"/>
      <c r="L121" s="7"/>
    </row>
    <row r="122" spans="1:12" ht="13" customHeight="1" x14ac:dyDescent="0.15">
      <c r="A122" s="48"/>
      <c r="B122" s="7"/>
      <c r="C122" s="5"/>
      <c r="D122" s="5"/>
      <c r="E122" s="5"/>
      <c r="F122" s="5"/>
      <c r="G122" s="7"/>
      <c r="H122" s="7"/>
      <c r="I122" s="7"/>
      <c r="J122" s="7"/>
      <c r="K122" s="7"/>
      <c r="L122" s="7"/>
    </row>
    <row r="123" spans="1:12" ht="13" customHeight="1" x14ac:dyDescent="0.15">
      <c r="A123" s="48"/>
      <c r="B123" s="7"/>
      <c r="C123" s="5"/>
      <c r="D123" s="5"/>
      <c r="E123" s="5"/>
      <c r="F123" s="5"/>
      <c r="G123" s="7"/>
      <c r="H123" s="7"/>
      <c r="I123" s="7"/>
      <c r="J123" s="7"/>
      <c r="K123" s="7"/>
      <c r="L123" s="7"/>
    </row>
    <row r="124" spans="1:12" ht="13" customHeight="1" x14ac:dyDescent="0.15">
      <c r="A124" s="48"/>
      <c r="B124" s="7"/>
      <c r="C124" s="5"/>
      <c r="D124" s="5"/>
      <c r="E124" s="5"/>
      <c r="F124" s="5"/>
      <c r="G124" s="7"/>
      <c r="H124" s="7"/>
      <c r="I124" s="7"/>
      <c r="J124" s="7"/>
      <c r="K124" s="7"/>
      <c r="L124" s="7"/>
    </row>
    <row r="125" spans="1:12" ht="13" customHeight="1" x14ac:dyDescent="0.15">
      <c r="A125" s="48"/>
      <c r="B125" s="7"/>
      <c r="C125" s="5"/>
      <c r="D125" s="5"/>
      <c r="E125" s="5"/>
      <c r="F125" s="5"/>
      <c r="G125" s="7"/>
      <c r="H125" s="7"/>
      <c r="I125" s="7"/>
      <c r="J125" s="7"/>
      <c r="K125" s="7"/>
      <c r="L125" s="7"/>
    </row>
    <row r="126" spans="1:12" ht="13" customHeight="1" x14ac:dyDescent="0.15">
      <c r="A126" s="48"/>
      <c r="B126" s="7"/>
      <c r="C126" s="5"/>
      <c r="D126" s="5"/>
      <c r="E126" s="5"/>
      <c r="F126" s="5"/>
      <c r="G126" s="7"/>
      <c r="H126" s="7"/>
      <c r="I126" s="7"/>
      <c r="J126" s="7"/>
      <c r="K126" s="7"/>
      <c r="L126" s="7"/>
    </row>
    <row r="127" spans="1:12" ht="13" customHeight="1" x14ac:dyDescent="0.15">
      <c r="A127" s="48"/>
      <c r="B127" s="7"/>
      <c r="C127" s="5"/>
      <c r="D127" s="5"/>
      <c r="E127" s="5"/>
      <c r="F127" s="5"/>
      <c r="G127" s="7"/>
      <c r="H127" s="7"/>
      <c r="I127" s="7"/>
      <c r="J127" s="7"/>
      <c r="K127" s="7"/>
      <c r="L127" s="7"/>
    </row>
    <row r="128" spans="1:12" ht="13" customHeight="1" x14ac:dyDescent="0.15">
      <c r="A128" s="48"/>
      <c r="B128" s="7"/>
      <c r="C128" s="5"/>
      <c r="D128" s="5"/>
      <c r="E128" s="5"/>
      <c r="F128" s="5"/>
      <c r="G128" s="7"/>
      <c r="H128" s="7"/>
      <c r="I128" s="7"/>
      <c r="J128" s="7"/>
      <c r="K128" s="7"/>
      <c r="L128" s="7"/>
    </row>
    <row r="129" spans="1:12" ht="13" customHeight="1" x14ac:dyDescent="0.15">
      <c r="A129" s="48"/>
      <c r="B129" s="7"/>
      <c r="C129" s="5"/>
      <c r="D129" s="5"/>
      <c r="E129" s="5"/>
      <c r="F129" s="5"/>
      <c r="G129" s="7"/>
      <c r="H129" s="7"/>
      <c r="I129" s="7"/>
      <c r="J129" s="7"/>
      <c r="K129" s="7"/>
      <c r="L129" s="7"/>
    </row>
    <row r="130" spans="1:12" ht="13" customHeight="1" x14ac:dyDescent="0.15">
      <c r="A130" s="48"/>
      <c r="B130" s="7"/>
      <c r="C130" s="5"/>
      <c r="D130" s="5"/>
      <c r="E130" s="5"/>
      <c r="F130" s="5"/>
      <c r="G130" s="7"/>
      <c r="H130" s="7"/>
      <c r="I130" s="7"/>
      <c r="J130" s="7"/>
      <c r="K130" s="7"/>
      <c r="L130" s="7"/>
    </row>
    <row r="131" spans="1:12" ht="13" customHeight="1" x14ac:dyDescent="0.15">
      <c r="A131" s="48"/>
      <c r="B131" s="7"/>
      <c r="C131" s="5"/>
      <c r="D131" s="5"/>
      <c r="E131" s="5"/>
      <c r="F131" s="5"/>
      <c r="G131" s="7"/>
      <c r="H131" s="7"/>
      <c r="I131" s="7"/>
      <c r="J131" s="7"/>
      <c r="K131" s="7"/>
      <c r="L131" s="7"/>
    </row>
    <row r="132" spans="1:12" ht="13" customHeight="1" x14ac:dyDescent="0.15">
      <c r="A132" s="48"/>
      <c r="B132" s="7"/>
      <c r="C132" s="5"/>
      <c r="D132" s="5"/>
      <c r="E132" s="5"/>
      <c r="F132" s="5"/>
      <c r="G132" s="7"/>
      <c r="H132" s="7"/>
      <c r="I132" s="7"/>
      <c r="J132" s="7"/>
      <c r="K132" s="7"/>
      <c r="L132" s="7"/>
    </row>
    <row r="133" spans="1:12" ht="13" customHeight="1" x14ac:dyDescent="0.15">
      <c r="A133" s="48"/>
      <c r="B133" s="7"/>
      <c r="C133" s="5"/>
      <c r="D133" s="5"/>
      <c r="E133" s="5"/>
      <c r="F133" s="5"/>
      <c r="G133" s="7"/>
      <c r="H133" s="7"/>
      <c r="I133" s="7"/>
      <c r="J133" s="7"/>
      <c r="K133" s="7"/>
      <c r="L133" s="7"/>
    </row>
    <row r="134" spans="1:12" ht="13" customHeight="1" x14ac:dyDescent="0.15">
      <c r="A134" s="48"/>
      <c r="B134" s="7"/>
      <c r="C134" s="5"/>
      <c r="D134" s="5"/>
      <c r="E134" s="5"/>
      <c r="F134" s="5"/>
      <c r="G134" s="7"/>
      <c r="H134" s="7"/>
      <c r="I134" s="7"/>
      <c r="J134" s="7"/>
      <c r="K134" s="7"/>
      <c r="L134" s="7"/>
    </row>
    <row r="135" spans="1:12" ht="13" customHeight="1" x14ac:dyDescent="0.15">
      <c r="A135" s="48"/>
      <c r="B135" s="7"/>
      <c r="C135" s="5"/>
      <c r="D135" s="5"/>
      <c r="E135" s="5"/>
      <c r="F135" s="5"/>
      <c r="G135" s="7"/>
      <c r="H135" s="7"/>
      <c r="I135" s="7"/>
      <c r="J135" s="7"/>
      <c r="K135" s="7"/>
      <c r="L135" s="7"/>
    </row>
    <row r="136" spans="1:12" ht="13" customHeight="1" x14ac:dyDescent="0.15">
      <c r="A136" s="48"/>
      <c r="B136" s="7"/>
      <c r="C136" s="5"/>
      <c r="D136" s="5"/>
      <c r="E136" s="5"/>
      <c r="F136" s="5"/>
      <c r="G136" s="7"/>
      <c r="H136" s="7"/>
      <c r="I136" s="7"/>
      <c r="J136" s="7"/>
      <c r="K136" s="7"/>
      <c r="L136" s="7"/>
    </row>
    <row r="137" spans="1:12" ht="13" customHeight="1" x14ac:dyDescent="0.15">
      <c r="A137" s="48"/>
      <c r="B137" s="7"/>
      <c r="C137" s="5"/>
      <c r="D137" s="5"/>
      <c r="E137" s="5"/>
      <c r="F137" s="5"/>
      <c r="G137" s="7"/>
      <c r="H137" s="7"/>
      <c r="I137" s="7"/>
      <c r="J137" s="7"/>
      <c r="K137" s="7"/>
      <c r="L137" s="7"/>
    </row>
    <row r="138" spans="1:12" ht="13" customHeight="1" x14ac:dyDescent="0.15">
      <c r="A138" s="48"/>
      <c r="B138" s="7"/>
      <c r="C138" s="5"/>
      <c r="D138" s="5"/>
      <c r="E138" s="5"/>
      <c r="F138" s="5"/>
      <c r="G138" s="7"/>
      <c r="H138" s="7"/>
      <c r="I138" s="7"/>
      <c r="J138" s="7"/>
      <c r="K138" s="7"/>
      <c r="L138" s="7"/>
    </row>
    <row r="139" spans="1:12" ht="13" customHeight="1" x14ac:dyDescent="0.15">
      <c r="A139" s="48"/>
      <c r="B139" s="7"/>
      <c r="C139" s="5"/>
      <c r="D139" s="5"/>
      <c r="E139" s="5"/>
      <c r="F139" s="5"/>
      <c r="G139" s="7"/>
      <c r="H139" s="7"/>
      <c r="I139" s="7"/>
      <c r="J139" s="7"/>
      <c r="K139" s="7"/>
      <c r="L139" s="7"/>
    </row>
    <row r="140" spans="1:12" ht="13" customHeight="1" x14ac:dyDescent="0.15">
      <c r="A140" s="48"/>
      <c r="B140" s="7"/>
      <c r="C140" s="5"/>
      <c r="D140" s="5"/>
      <c r="E140" s="5"/>
      <c r="F140" s="5"/>
      <c r="G140" s="7"/>
      <c r="H140" s="7"/>
      <c r="I140" s="7"/>
      <c r="J140" s="7"/>
      <c r="K140" s="7"/>
      <c r="L140" s="7"/>
    </row>
    <row r="141" spans="1:12" ht="13" customHeight="1" x14ac:dyDescent="0.15">
      <c r="A141" s="48"/>
      <c r="B141" s="7"/>
      <c r="C141" s="5"/>
      <c r="D141" s="5"/>
      <c r="E141" s="5"/>
      <c r="F141" s="5"/>
      <c r="G141" s="7"/>
      <c r="H141" s="7"/>
      <c r="I141" s="7"/>
      <c r="J141" s="7"/>
      <c r="K141" s="7"/>
      <c r="L141" s="7"/>
    </row>
    <row r="142" spans="1:12" ht="13" customHeight="1" x14ac:dyDescent="0.15">
      <c r="A142" s="48"/>
      <c r="B142" s="7"/>
      <c r="C142" s="5"/>
      <c r="D142" s="5"/>
      <c r="E142" s="5"/>
      <c r="F142" s="5"/>
      <c r="G142" s="7"/>
      <c r="H142" s="7"/>
      <c r="I142" s="7"/>
      <c r="J142" s="7"/>
      <c r="K142" s="7"/>
      <c r="L142" s="7"/>
    </row>
    <row r="143" spans="1:12" ht="13" customHeight="1" x14ac:dyDescent="0.15">
      <c r="A143" s="48"/>
      <c r="B143" s="7"/>
      <c r="C143" s="5"/>
      <c r="D143" s="5"/>
      <c r="E143" s="5"/>
      <c r="F143" s="5"/>
      <c r="G143" s="7"/>
      <c r="H143" s="7"/>
      <c r="I143" s="7"/>
      <c r="J143" s="7"/>
      <c r="K143" s="7"/>
      <c r="L143" s="7"/>
    </row>
    <row r="144" spans="1:12" ht="13" customHeight="1" x14ac:dyDescent="0.15">
      <c r="A144" s="48"/>
      <c r="B144" s="7"/>
      <c r="C144" s="5"/>
      <c r="D144" s="5"/>
      <c r="E144" s="5"/>
      <c r="F144" s="5"/>
      <c r="G144" s="7"/>
      <c r="H144" s="7"/>
      <c r="I144" s="7"/>
      <c r="J144" s="7"/>
      <c r="K144" s="7"/>
      <c r="L144" s="7"/>
    </row>
    <row r="145" spans="1:12" ht="13" customHeight="1" x14ac:dyDescent="0.15">
      <c r="A145" s="48"/>
      <c r="B145" s="7"/>
      <c r="C145" s="5"/>
      <c r="D145" s="5"/>
      <c r="E145" s="5"/>
      <c r="F145" s="5"/>
      <c r="G145" s="7"/>
      <c r="H145" s="7"/>
      <c r="I145" s="7"/>
      <c r="J145" s="7"/>
      <c r="K145" s="7"/>
      <c r="L145" s="7"/>
    </row>
    <row r="146" spans="1:12" ht="13" customHeight="1" x14ac:dyDescent="0.15">
      <c r="A146" s="48"/>
      <c r="B146" s="7"/>
      <c r="C146" s="5"/>
      <c r="D146" s="5"/>
      <c r="E146" s="5"/>
      <c r="F146" s="5"/>
      <c r="G146" s="7"/>
      <c r="H146" s="7"/>
      <c r="I146" s="7"/>
      <c r="J146" s="7"/>
      <c r="K146" s="7"/>
      <c r="L146" s="7"/>
    </row>
    <row r="147" spans="1:12" ht="13" customHeight="1" x14ac:dyDescent="0.15">
      <c r="A147" s="48"/>
      <c r="B147" s="7"/>
      <c r="C147" s="5"/>
      <c r="D147" s="5"/>
      <c r="E147" s="5"/>
      <c r="F147" s="5"/>
      <c r="G147" s="7"/>
      <c r="H147" s="7"/>
      <c r="I147" s="7"/>
      <c r="J147" s="7"/>
      <c r="K147" s="7"/>
      <c r="L147" s="7"/>
    </row>
    <row r="148" spans="1:12" ht="13" customHeight="1" x14ac:dyDescent="0.15">
      <c r="A148" s="48"/>
      <c r="B148" s="7"/>
      <c r="C148" s="5"/>
      <c r="D148" s="5"/>
      <c r="E148" s="5"/>
      <c r="F148" s="5"/>
      <c r="G148" s="7"/>
      <c r="H148" s="7"/>
      <c r="I148" s="7"/>
      <c r="J148" s="7"/>
      <c r="K148" s="7"/>
      <c r="L148" s="7"/>
    </row>
    <row r="149" spans="1:12" ht="13" customHeight="1" x14ac:dyDescent="0.15">
      <c r="A149" s="48"/>
      <c r="B149" s="7"/>
      <c r="C149" s="5"/>
      <c r="D149" s="5"/>
      <c r="E149" s="5"/>
      <c r="F149" s="5"/>
      <c r="G149" s="7"/>
      <c r="H149" s="7"/>
      <c r="I149" s="7"/>
      <c r="J149" s="7"/>
      <c r="K149" s="7"/>
      <c r="L149" s="7"/>
    </row>
    <row r="150" spans="1:12" ht="13" customHeight="1" x14ac:dyDescent="0.15">
      <c r="A150" s="48"/>
      <c r="B150" s="7"/>
      <c r="C150" s="5"/>
      <c r="D150" s="5"/>
      <c r="E150" s="5"/>
      <c r="F150" s="5"/>
      <c r="G150" s="7"/>
      <c r="H150" s="7"/>
      <c r="I150" s="7"/>
      <c r="J150" s="7"/>
      <c r="K150" s="7"/>
      <c r="L150" s="7"/>
    </row>
    <row r="151" spans="1:12" ht="13" customHeight="1" x14ac:dyDescent="0.15">
      <c r="A151" s="48"/>
      <c r="B151" s="7"/>
      <c r="C151" s="5"/>
      <c r="D151" s="5"/>
      <c r="E151" s="5"/>
      <c r="F151" s="5"/>
      <c r="G151" s="7"/>
      <c r="H151" s="7"/>
      <c r="I151" s="7"/>
      <c r="J151" s="7"/>
      <c r="K151" s="7"/>
      <c r="L151" s="7"/>
    </row>
    <row r="152" spans="1:12" ht="13" customHeight="1" x14ac:dyDescent="0.15">
      <c r="A152" s="48"/>
      <c r="B152" s="7"/>
      <c r="C152" s="5"/>
      <c r="D152" s="5"/>
      <c r="E152" s="5"/>
      <c r="F152" s="5"/>
      <c r="G152" s="7"/>
      <c r="H152" s="7"/>
      <c r="I152" s="7"/>
      <c r="J152" s="7"/>
      <c r="K152" s="7"/>
      <c r="L152" s="7"/>
    </row>
    <row r="153" spans="1:12" ht="13" customHeight="1" x14ac:dyDescent="0.15">
      <c r="A153" s="48"/>
      <c r="B153" s="7"/>
      <c r="C153" s="5"/>
      <c r="D153" s="5"/>
      <c r="E153" s="5"/>
      <c r="F153" s="5"/>
      <c r="G153" s="7"/>
      <c r="H153" s="7"/>
      <c r="I153" s="7"/>
      <c r="J153" s="7"/>
      <c r="K153" s="7"/>
      <c r="L153" s="7"/>
    </row>
    <row r="154" spans="1:12" ht="13" customHeight="1" x14ac:dyDescent="0.15">
      <c r="A154" s="48"/>
      <c r="B154" s="7"/>
      <c r="C154" s="5"/>
      <c r="D154" s="5"/>
      <c r="E154" s="5"/>
      <c r="F154" s="5"/>
      <c r="G154" s="7"/>
      <c r="H154" s="7"/>
      <c r="I154" s="7"/>
      <c r="J154" s="7"/>
      <c r="K154" s="7"/>
      <c r="L154" s="7"/>
    </row>
    <row r="155" spans="1:12" ht="13" customHeight="1" x14ac:dyDescent="0.15">
      <c r="A155" s="48"/>
      <c r="B155" s="7"/>
      <c r="C155" s="5"/>
      <c r="D155" s="5"/>
      <c r="E155" s="5"/>
      <c r="F155" s="5"/>
      <c r="G155" s="7"/>
      <c r="H155" s="7"/>
      <c r="I155" s="7"/>
      <c r="J155" s="7"/>
      <c r="K155" s="7"/>
      <c r="L155" s="7"/>
    </row>
    <row r="156" spans="1:12" ht="13" customHeight="1" x14ac:dyDescent="0.15">
      <c r="A156" s="48"/>
      <c r="B156" s="7"/>
      <c r="C156" s="5"/>
      <c r="D156" s="5"/>
      <c r="E156" s="5"/>
      <c r="F156" s="5"/>
      <c r="G156" s="7"/>
      <c r="H156" s="7"/>
      <c r="I156" s="7"/>
      <c r="J156" s="7"/>
      <c r="K156" s="7"/>
      <c r="L156" s="7"/>
    </row>
    <row r="157" spans="1:12" ht="13" customHeight="1" x14ac:dyDescent="0.15">
      <c r="A157" s="48"/>
      <c r="B157" s="7"/>
      <c r="C157" s="5"/>
      <c r="D157" s="5"/>
      <c r="E157" s="5"/>
      <c r="F157" s="5"/>
      <c r="G157" s="7"/>
      <c r="H157" s="7"/>
      <c r="I157" s="7"/>
      <c r="J157" s="7"/>
      <c r="K157" s="7"/>
      <c r="L157" s="7"/>
    </row>
    <row r="158" spans="1:12" ht="13" customHeight="1" x14ac:dyDescent="0.15">
      <c r="A158" s="48"/>
      <c r="B158" s="7"/>
      <c r="C158" s="5"/>
      <c r="D158" s="5"/>
      <c r="E158" s="5"/>
      <c r="F158" s="5"/>
      <c r="G158" s="7"/>
      <c r="H158" s="7"/>
      <c r="I158" s="7"/>
      <c r="J158" s="7"/>
      <c r="K158" s="7"/>
      <c r="L158" s="7"/>
    </row>
    <row r="159" spans="1:12" ht="13" customHeight="1" x14ac:dyDescent="0.15">
      <c r="A159" s="48"/>
      <c r="B159" s="7"/>
      <c r="C159" s="5"/>
      <c r="D159" s="5"/>
      <c r="E159" s="5"/>
      <c r="F159" s="5"/>
      <c r="G159" s="7"/>
      <c r="H159" s="7"/>
      <c r="I159" s="7"/>
      <c r="J159" s="7"/>
      <c r="K159" s="7"/>
      <c r="L159" s="7"/>
    </row>
    <row r="160" spans="1:12" ht="13" customHeight="1" x14ac:dyDescent="0.15">
      <c r="A160" s="48"/>
      <c r="B160" s="7"/>
      <c r="C160" s="5"/>
      <c r="D160" s="5"/>
      <c r="E160" s="5"/>
      <c r="F160" s="5"/>
      <c r="G160" s="7"/>
      <c r="H160" s="7"/>
      <c r="I160" s="7"/>
      <c r="J160" s="7"/>
      <c r="K160" s="7"/>
      <c r="L160" s="7"/>
    </row>
    <row r="161" spans="1:12" ht="13" customHeight="1" x14ac:dyDescent="0.15">
      <c r="A161" s="48"/>
      <c r="B161" s="7"/>
      <c r="C161" s="5"/>
      <c r="D161" s="5"/>
      <c r="E161" s="5"/>
      <c r="F161" s="5"/>
      <c r="G161" s="7"/>
      <c r="H161" s="7"/>
      <c r="I161" s="7"/>
      <c r="J161" s="7"/>
      <c r="K161" s="7"/>
      <c r="L161" s="7"/>
    </row>
    <row r="162" spans="1:12" ht="13" customHeight="1" x14ac:dyDescent="0.15">
      <c r="A162" s="48"/>
      <c r="B162" s="7"/>
      <c r="C162" s="5"/>
      <c r="D162" s="5"/>
      <c r="E162" s="5"/>
      <c r="F162" s="5"/>
      <c r="G162" s="7"/>
      <c r="H162" s="7"/>
      <c r="I162" s="7"/>
      <c r="J162" s="7"/>
      <c r="K162" s="7"/>
      <c r="L162" s="7"/>
    </row>
    <row r="163" spans="1:12" ht="13" customHeight="1" x14ac:dyDescent="0.15">
      <c r="A163" s="48"/>
      <c r="B163" s="7"/>
      <c r="C163" s="5"/>
      <c r="D163" s="5"/>
      <c r="E163" s="5"/>
      <c r="F163" s="5"/>
      <c r="G163" s="7"/>
      <c r="H163" s="7"/>
      <c r="I163" s="7"/>
      <c r="J163" s="7"/>
      <c r="K163" s="7"/>
      <c r="L163" s="7"/>
    </row>
    <row r="164" spans="1:12" ht="13" customHeight="1" x14ac:dyDescent="0.15">
      <c r="A164" s="48"/>
      <c r="B164" s="7"/>
      <c r="C164" s="5"/>
      <c r="D164" s="5"/>
      <c r="E164" s="5"/>
      <c r="F164" s="5"/>
      <c r="G164" s="7"/>
      <c r="H164" s="7"/>
      <c r="I164" s="7"/>
      <c r="J164" s="7"/>
      <c r="K164" s="7"/>
      <c r="L164" s="7"/>
    </row>
    <row r="165" spans="1:12" ht="13" customHeight="1" x14ac:dyDescent="0.15">
      <c r="A165" s="48"/>
      <c r="B165" s="7"/>
      <c r="C165" s="5"/>
      <c r="D165" s="5"/>
      <c r="E165" s="5"/>
      <c r="F165" s="5"/>
      <c r="G165" s="7"/>
      <c r="H165" s="7"/>
      <c r="I165" s="7"/>
      <c r="J165" s="7"/>
      <c r="K165" s="7"/>
      <c r="L165" s="7"/>
    </row>
    <row r="166" spans="1:12" ht="13" customHeight="1" x14ac:dyDescent="0.15">
      <c r="A166" s="48"/>
      <c r="B166" s="7"/>
      <c r="C166" s="5"/>
      <c r="D166" s="5"/>
      <c r="E166" s="5"/>
      <c r="F166" s="5"/>
      <c r="G166" s="7"/>
      <c r="H166" s="7"/>
      <c r="I166" s="7"/>
      <c r="J166" s="7"/>
      <c r="K166" s="7"/>
      <c r="L166" s="7"/>
    </row>
    <row r="167" spans="1:12" ht="13" customHeight="1" x14ac:dyDescent="0.15">
      <c r="A167" s="48"/>
      <c r="B167" s="7"/>
      <c r="C167" s="5"/>
      <c r="D167" s="5"/>
      <c r="E167" s="5"/>
      <c r="F167" s="5"/>
      <c r="G167" s="7"/>
      <c r="H167" s="7"/>
      <c r="I167" s="7"/>
      <c r="J167" s="7"/>
      <c r="K167" s="7"/>
      <c r="L167" s="7"/>
    </row>
    <row r="168" spans="1:12" ht="13" customHeight="1" x14ac:dyDescent="0.15">
      <c r="A168" s="48"/>
      <c r="B168" s="7"/>
      <c r="C168" s="5"/>
      <c r="D168" s="5"/>
      <c r="E168" s="5"/>
      <c r="F168" s="5"/>
      <c r="G168" s="7"/>
      <c r="H168" s="7"/>
      <c r="I168" s="7"/>
      <c r="J168" s="7"/>
      <c r="K168" s="7"/>
      <c r="L168" s="7"/>
    </row>
    <row r="169" spans="1:12" ht="13" customHeight="1" x14ac:dyDescent="0.15">
      <c r="A169" s="48"/>
      <c r="B169" s="7"/>
      <c r="C169" s="5"/>
      <c r="D169" s="5"/>
      <c r="E169" s="5"/>
      <c r="F169" s="5"/>
      <c r="G169" s="7"/>
      <c r="H169" s="7"/>
      <c r="I169" s="7"/>
      <c r="J169" s="7"/>
      <c r="K169" s="7"/>
      <c r="L169" s="7"/>
    </row>
    <row r="170" spans="1:12" ht="13" customHeight="1" x14ac:dyDescent="0.15">
      <c r="A170" s="48"/>
      <c r="B170" s="7"/>
      <c r="C170" s="5"/>
      <c r="D170" s="5"/>
      <c r="E170" s="5"/>
      <c r="F170" s="5"/>
      <c r="G170" s="7"/>
      <c r="H170" s="7"/>
      <c r="I170" s="7"/>
      <c r="J170" s="7"/>
      <c r="K170" s="7"/>
      <c r="L170" s="7"/>
    </row>
    <row r="171" spans="1:12" ht="13" customHeight="1" x14ac:dyDescent="0.15">
      <c r="A171" s="48"/>
      <c r="B171" s="7"/>
      <c r="C171" s="5"/>
      <c r="D171" s="5"/>
      <c r="E171" s="5"/>
      <c r="F171" s="5"/>
      <c r="G171" s="7"/>
      <c r="H171" s="7"/>
      <c r="I171" s="7"/>
      <c r="J171" s="7"/>
      <c r="K171" s="7"/>
      <c r="L171" s="7"/>
    </row>
    <row r="172" spans="1:12" ht="13" customHeight="1" x14ac:dyDescent="0.15">
      <c r="A172" s="48"/>
      <c r="B172" s="7"/>
      <c r="C172" s="5"/>
      <c r="D172" s="5"/>
      <c r="E172" s="5"/>
      <c r="F172" s="5"/>
      <c r="G172" s="7"/>
      <c r="H172" s="7"/>
      <c r="I172" s="7"/>
      <c r="J172" s="7"/>
      <c r="K172" s="7"/>
      <c r="L172" s="7"/>
    </row>
    <row r="173" spans="1:12" ht="13" customHeight="1" x14ac:dyDescent="0.15">
      <c r="A173" s="48"/>
      <c r="B173" s="7"/>
      <c r="C173" s="5"/>
      <c r="D173" s="5"/>
      <c r="E173" s="5"/>
      <c r="F173" s="5"/>
      <c r="G173" s="7"/>
      <c r="H173" s="7"/>
      <c r="I173" s="7"/>
      <c r="J173" s="7"/>
      <c r="K173" s="7"/>
      <c r="L173" s="7"/>
    </row>
    <row r="174" spans="1:12" ht="13" customHeight="1" x14ac:dyDescent="0.15">
      <c r="A174" s="48"/>
      <c r="B174" s="7"/>
      <c r="C174" s="5"/>
      <c r="D174" s="5"/>
      <c r="E174" s="5"/>
      <c r="F174" s="5"/>
      <c r="G174" s="7"/>
      <c r="H174" s="7"/>
      <c r="I174" s="7"/>
      <c r="J174" s="7"/>
      <c r="K174" s="7"/>
      <c r="L174" s="7"/>
    </row>
    <row r="175" spans="1:12" ht="13" customHeight="1" x14ac:dyDescent="0.15">
      <c r="A175" s="48"/>
      <c r="B175" s="7"/>
      <c r="C175" s="5"/>
      <c r="D175" s="5"/>
      <c r="E175" s="5"/>
      <c r="F175" s="5"/>
      <c r="G175" s="7"/>
      <c r="H175" s="7"/>
      <c r="I175" s="7"/>
      <c r="J175" s="7"/>
      <c r="K175" s="7"/>
      <c r="L175" s="7"/>
    </row>
    <row r="176" spans="1:12" ht="13" customHeight="1" x14ac:dyDescent="0.15">
      <c r="A176" s="48"/>
      <c r="B176" s="7"/>
      <c r="C176" s="5"/>
      <c r="D176" s="5"/>
      <c r="E176" s="5"/>
      <c r="F176" s="5"/>
      <c r="G176" s="7"/>
      <c r="H176" s="7"/>
      <c r="I176" s="7"/>
      <c r="J176" s="7"/>
      <c r="K176" s="7"/>
      <c r="L176" s="7"/>
    </row>
    <row r="177" spans="1:12" ht="13" customHeight="1" x14ac:dyDescent="0.15">
      <c r="A177" s="48"/>
      <c r="B177" s="7"/>
      <c r="C177" s="5"/>
      <c r="D177" s="5"/>
      <c r="E177" s="5"/>
      <c r="F177" s="5"/>
      <c r="G177" s="7"/>
      <c r="H177" s="7"/>
      <c r="I177" s="7"/>
      <c r="J177" s="7"/>
      <c r="K177" s="7"/>
      <c r="L177" s="7"/>
    </row>
    <row r="178" spans="1:12" ht="13" customHeight="1" x14ac:dyDescent="0.15">
      <c r="A178" s="48"/>
      <c r="B178" s="7"/>
      <c r="C178" s="5"/>
      <c r="D178" s="5"/>
      <c r="E178" s="5"/>
      <c r="F178" s="5"/>
      <c r="G178" s="7"/>
      <c r="H178" s="7"/>
      <c r="I178" s="7"/>
      <c r="J178" s="7"/>
      <c r="K178" s="7"/>
      <c r="L178" s="7"/>
    </row>
    <row r="179" spans="1:12" ht="13" customHeight="1" x14ac:dyDescent="0.15">
      <c r="A179" s="48"/>
      <c r="B179" s="7"/>
      <c r="C179" s="5"/>
      <c r="D179" s="5"/>
      <c r="E179" s="5"/>
      <c r="F179" s="5"/>
      <c r="G179" s="7"/>
      <c r="H179" s="7"/>
      <c r="I179" s="7"/>
      <c r="J179" s="7"/>
      <c r="K179" s="7"/>
      <c r="L179" s="7"/>
    </row>
    <row r="180" spans="1:12" ht="13" customHeight="1" x14ac:dyDescent="0.15">
      <c r="A180" s="48"/>
      <c r="B180" s="7"/>
      <c r="C180" s="5"/>
      <c r="D180" s="5"/>
      <c r="E180" s="5"/>
      <c r="F180" s="5"/>
      <c r="G180" s="7"/>
      <c r="H180" s="7"/>
      <c r="I180" s="7"/>
      <c r="J180" s="7"/>
      <c r="K180" s="7"/>
      <c r="L180" s="7"/>
    </row>
    <row r="181" spans="1:12" ht="13" customHeight="1" x14ac:dyDescent="0.15">
      <c r="A181" s="48"/>
      <c r="B181" s="7"/>
      <c r="C181" s="5"/>
      <c r="D181" s="5"/>
      <c r="E181" s="5"/>
      <c r="F181" s="5"/>
      <c r="G181" s="7"/>
      <c r="H181" s="7"/>
      <c r="I181" s="7"/>
      <c r="J181" s="7"/>
      <c r="K181" s="7"/>
      <c r="L181" s="7"/>
    </row>
    <row r="182" spans="1:12" ht="13" customHeight="1" x14ac:dyDescent="0.15">
      <c r="A182" s="48"/>
      <c r="B182" s="7"/>
      <c r="C182" s="5"/>
      <c r="D182" s="5"/>
      <c r="E182" s="5"/>
      <c r="F182" s="5"/>
      <c r="G182" s="7"/>
      <c r="H182" s="7"/>
      <c r="I182" s="7"/>
      <c r="J182" s="7"/>
      <c r="K182" s="7"/>
      <c r="L182" s="7"/>
    </row>
    <row r="183" spans="1:12" ht="13" customHeight="1" x14ac:dyDescent="0.15">
      <c r="A183" s="48"/>
      <c r="B183" s="7"/>
      <c r="C183" s="5"/>
      <c r="D183" s="5"/>
      <c r="E183" s="5"/>
      <c r="F183" s="5"/>
      <c r="G183" s="7"/>
      <c r="H183" s="7"/>
      <c r="I183" s="7"/>
      <c r="J183" s="7"/>
      <c r="K183" s="7"/>
      <c r="L183" s="7"/>
    </row>
    <row r="184" spans="1:12" ht="13" customHeight="1" x14ac:dyDescent="0.15">
      <c r="A184" s="48"/>
      <c r="B184" s="7"/>
      <c r="C184" s="5"/>
      <c r="D184" s="5"/>
      <c r="E184" s="5"/>
      <c r="F184" s="5"/>
      <c r="G184" s="7"/>
      <c r="H184" s="7"/>
      <c r="I184" s="7"/>
      <c r="J184" s="7"/>
      <c r="K184" s="7"/>
      <c r="L184" s="7"/>
    </row>
    <row r="185" spans="1:12" ht="13" customHeight="1" x14ac:dyDescent="0.15">
      <c r="A185" s="48"/>
      <c r="B185" s="7"/>
      <c r="C185" s="5"/>
      <c r="D185" s="5"/>
      <c r="E185" s="5"/>
      <c r="F185" s="5"/>
      <c r="G185" s="7"/>
      <c r="H185" s="7"/>
      <c r="I185" s="7"/>
      <c r="J185" s="7"/>
      <c r="K185" s="7"/>
      <c r="L185" s="7"/>
    </row>
    <row r="186" spans="1:12" ht="13" customHeight="1" x14ac:dyDescent="0.15">
      <c r="A186" s="48"/>
      <c r="B186" s="7"/>
      <c r="C186" s="5"/>
      <c r="D186" s="5"/>
      <c r="E186" s="5"/>
      <c r="F186" s="5"/>
      <c r="G186" s="7"/>
      <c r="H186" s="7"/>
      <c r="I186" s="7"/>
      <c r="J186" s="7"/>
      <c r="K186" s="7"/>
      <c r="L186" s="7"/>
    </row>
    <row r="187" spans="1:12" ht="13" customHeight="1" x14ac:dyDescent="0.15">
      <c r="A187" s="48"/>
      <c r="B187" s="7"/>
      <c r="C187" s="5"/>
      <c r="D187" s="5"/>
      <c r="E187" s="5"/>
      <c r="F187" s="5"/>
      <c r="G187" s="7"/>
      <c r="H187" s="7"/>
      <c r="I187" s="7"/>
      <c r="J187" s="7"/>
      <c r="K187" s="7"/>
      <c r="L187" s="7"/>
    </row>
    <row r="188" spans="1:12" ht="13" customHeight="1" x14ac:dyDescent="0.15">
      <c r="A188" s="48"/>
      <c r="B188" s="7"/>
      <c r="C188" s="5"/>
      <c r="D188" s="5"/>
      <c r="E188" s="5"/>
      <c r="F188" s="5"/>
      <c r="G188" s="7"/>
      <c r="H188" s="7"/>
      <c r="I188" s="7"/>
      <c r="J188" s="7"/>
      <c r="K188" s="7"/>
      <c r="L188" s="7"/>
    </row>
    <row r="189" spans="1:12" ht="13" customHeight="1" x14ac:dyDescent="0.15">
      <c r="A189" s="48"/>
      <c r="B189" s="7"/>
      <c r="C189" s="5"/>
      <c r="D189" s="5"/>
      <c r="E189" s="5"/>
      <c r="F189" s="5"/>
      <c r="G189" s="7"/>
      <c r="H189" s="7"/>
      <c r="I189" s="7"/>
      <c r="J189" s="7"/>
      <c r="K189" s="7"/>
      <c r="L189" s="7"/>
    </row>
    <row r="190" spans="1:12" ht="13" customHeight="1" x14ac:dyDescent="0.15">
      <c r="A190" s="48"/>
      <c r="B190" s="7"/>
      <c r="C190" s="5"/>
      <c r="D190" s="5"/>
      <c r="E190" s="5"/>
      <c r="F190" s="5"/>
      <c r="G190" s="7"/>
      <c r="H190" s="7"/>
      <c r="I190" s="7"/>
      <c r="J190" s="7"/>
      <c r="K190" s="7"/>
      <c r="L190" s="7"/>
    </row>
    <row r="191" spans="1:12" ht="13" customHeight="1" x14ac:dyDescent="0.15">
      <c r="A191" s="48"/>
      <c r="B191" s="7"/>
      <c r="C191" s="5"/>
      <c r="D191" s="5"/>
      <c r="E191" s="5"/>
      <c r="F191" s="5"/>
      <c r="G191" s="7"/>
      <c r="H191" s="7"/>
      <c r="I191" s="7"/>
      <c r="J191" s="7"/>
      <c r="K191" s="7"/>
      <c r="L191" s="7"/>
    </row>
    <row r="192" spans="1:12" ht="13" customHeight="1" x14ac:dyDescent="0.15">
      <c r="A192" s="48"/>
      <c r="B192" s="7"/>
      <c r="C192" s="5"/>
      <c r="D192" s="5"/>
      <c r="E192" s="5"/>
      <c r="F192" s="5"/>
      <c r="G192" s="7"/>
      <c r="H192" s="7"/>
      <c r="I192" s="7"/>
      <c r="J192" s="7"/>
      <c r="K192" s="7"/>
      <c r="L192" s="7"/>
    </row>
    <row r="193" spans="1:12" ht="13" customHeight="1" x14ac:dyDescent="0.15">
      <c r="A193" s="48"/>
      <c r="B193" s="7"/>
      <c r="C193" s="5"/>
      <c r="D193" s="5"/>
      <c r="E193" s="5"/>
      <c r="F193" s="5"/>
      <c r="G193" s="7"/>
      <c r="H193" s="7"/>
      <c r="I193" s="7"/>
      <c r="J193" s="7"/>
      <c r="K193" s="7"/>
      <c r="L193" s="7"/>
    </row>
    <row r="194" spans="1:12" ht="13" customHeight="1" x14ac:dyDescent="0.15">
      <c r="A194" s="48"/>
      <c r="B194" s="7"/>
      <c r="C194" s="5"/>
      <c r="D194" s="5"/>
      <c r="E194" s="5"/>
      <c r="F194" s="5"/>
      <c r="G194" s="7"/>
      <c r="H194" s="7"/>
      <c r="I194" s="7"/>
      <c r="J194" s="7"/>
      <c r="K194" s="7"/>
      <c r="L194" s="7"/>
    </row>
    <row r="195" spans="1:12" ht="13" customHeight="1" x14ac:dyDescent="0.15">
      <c r="A195" s="48"/>
      <c r="B195" s="7"/>
      <c r="C195" s="5"/>
      <c r="D195" s="5"/>
      <c r="E195" s="5"/>
      <c r="F195" s="5"/>
      <c r="G195" s="7"/>
      <c r="H195" s="7"/>
      <c r="I195" s="7"/>
      <c r="J195" s="7"/>
      <c r="K195" s="7"/>
      <c r="L195" s="7"/>
    </row>
    <row r="196" spans="1:12" ht="13" customHeight="1" x14ac:dyDescent="0.15">
      <c r="A196" s="48"/>
      <c r="B196" s="7"/>
      <c r="C196" s="5"/>
      <c r="D196" s="5"/>
      <c r="E196" s="5"/>
      <c r="F196" s="5"/>
      <c r="G196" s="7"/>
      <c r="H196" s="7"/>
      <c r="I196" s="7"/>
      <c r="J196" s="7"/>
      <c r="K196" s="7"/>
      <c r="L196" s="7"/>
    </row>
    <row r="197" spans="1:12" ht="13" customHeight="1" x14ac:dyDescent="0.15">
      <c r="A197" s="48"/>
      <c r="B197" s="7"/>
      <c r="C197" s="5"/>
      <c r="D197" s="5"/>
      <c r="E197" s="5"/>
      <c r="F197" s="5"/>
      <c r="G197" s="7"/>
      <c r="H197" s="7"/>
      <c r="I197" s="7"/>
      <c r="J197" s="7"/>
      <c r="K197" s="7"/>
      <c r="L197" s="7"/>
    </row>
    <row r="198" spans="1:12" ht="13" customHeight="1" x14ac:dyDescent="0.15">
      <c r="A198" s="48"/>
      <c r="B198" s="7"/>
      <c r="C198" s="5"/>
      <c r="D198" s="5"/>
      <c r="E198" s="5"/>
      <c r="F198" s="5"/>
      <c r="G198" s="7"/>
      <c r="H198" s="7"/>
      <c r="I198" s="7"/>
      <c r="J198" s="7"/>
      <c r="K198" s="7"/>
      <c r="L198" s="7"/>
    </row>
    <row r="199" spans="1:12" ht="13" customHeight="1" x14ac:dyDescent="0.15">
      <c r="A199" s="48"/>
      <c r="B199" s="7"/>
      <c r="C199" s="5"/>
      <c r="D199" s="5"/>
      <c r="E199" s="5"/>
      <c r="F199" s="5"/>
      <c r="G199" s="7"/>
      <c r="H199" s="7"/>
      <c r="I199" s="7"/>
      <c r="J199" s="7"/>
      <c r="K199" s="7"/>
      <c r="L199" s="7"/>
    </row>
    <row r="200" spans="1:12" ht="13" customHeight="1" x14ac:dyDescent="0.15">
      <c r="A200" s="48"/>
      <c r="B200" s="7"/>
      <c r="C200" s="5"/>
      <c r="D200" s="5"/>
      <c r="E200" s="5"/>
      <c r="F200" s="5"/>
      <c r="G200" s="7"/>
      <c r="H200" s="7"/>
      <c r="I200" s="7"/>
      <c r="J200" s="7"/>
      <c r="K200" s="7"/>
      <c r="L200" s="7"/>
    </row>
    <row r="201" spans="1:12" ht="13" customHeight="1" x14ac:dyDescent="0.15">
      <c r="A201" s="48"/>
      <c r="B201" s="7"/>
      <c r="C201" s="5"/>
      <c r="D201" s="5"/>
      <c r="E201" s="5"/>
      <c r="F201" s="5"/>
      <c r="G201" s="7"/>
      <c r="H201" s="7"/>
      <c r="I201" s="7"/>
      <c r="J201" s="7"/>
      <c r="K201" s="7"/>
      <c r="L201" s="7"/>
    </row>
    <row r="202" spans="1:12" ht="13" customHeight="1" x14ac:dyDescent="0.15">
      <c r="A202" s="48"/>
      <c r="B202" s="7"/>
      <c r="C202" s="5"/>
      <c r="D202" s="5"/>
      <c r="E202" s="5"/>
      <c r="F202" s="5"/>
      <c r="G202" s="7"/>
      <c r="H202" s="7"/>
      <c r="I202" s="7"/>
      <c r="J202" s="7"/>
      <c r="K202" s="7"/>
      <c r="L202" s="7"/>
    </row>
    <row r="203" spans="1:12" ht="13" customHeight="1" x14ac:dyDescent="0.15">
      <c r="A203" s="48"/>
      <c r="B203" s="7"/>
      <c r="C203" s="5"/>
      <c r="D203" s="5"/>
      <c r="E203" s="5"/>
      <c r="F203" s="5"/>
      <c r="G203" s="7"/>
      <c r="H203" s="7"/>
      <c r="I203" s="7"/>
      <c r="J203" s="7"/>
      <c r="K203" s="7"/>
      <c r="L203" s="7"/>
    </row>
    <row r="204" spans="1:12" ht="13" customHeight="1" x14ac:dyDescent="0.15">
      <c r="A204" s="48"/>
      <c r="B204" s="7"/>
      <c r="C204" s="5"/>
      <c r="D204" s="5"/>
      <c r="E204" s="5"/>
      <c r="F204" s="5"/>
      <c r="G204" s="7"/>
      <c r="H204" s="7"/>
      <c r="I204" s="7"/>
      <c r="J204" s="7"/>
      <c r="K204" s="7"/>
      <c r="L204" s="7"/>
    </row>
    <row r="205" spans="1:12" ht="13" customHeight="1" x14ac:dyDescent="0.15">
      <c r="A205" s="48"/>
      <c r="B205" s="7"/>
      <c r="C205" s="5"/>
      <c r="D205" s="5"/>
      <c r="E205" s="5"/>
      <c r="F205" s="5"/>
      <c r="G205" s="7"/>
      <c r="H205" s="7"/>
      <c r="I205" s="7"/>
      <c r="J205" s="7"/>
      <c r="K205" s="7"/>
      <c r="L205" s="7"/>
    </row>
    <row r="206" spans="1:12" ht="13" customHeight="1" x14ac:dyDescent="0.15">
      <c r="A206" s="48"/>
      <c r="B206" s="7"/>
      <c r="C206" s="5"/>
      <c r="D206" s="5"/>
      <c r="E206" s="5"/>
      <c r="F206" s="5"/>
      <c r="G206" s="7"/>
      <c r="H206" s="7"/>
      <c r="I206" s="7"/>
      <c r="J206" s="7"/>
      <c r="K206" s="7"/>
      <c r="L206" s="7"/>
    </row>
    <row r="207" spans="1:12" ht="13" customHeight="1" x14ac:dyDescent="0.15">
      <c r="A207" s="48"/>
      <c r="B207" s="7"/>
      <c r="C207" s="5"/>
      <c r="D207" s="5"/>
      <c r="E207" s="5"/>
      <c r="F207" s="5"/>
      <c r="G207" s="7"/>
      <c r="H207" s="7"/>
      <c r="I207" s="7"/>
      <c r="J207" s="7"/>
      <c r="K207" s="7"/>
      <c r="L207" s="7"/>
    </row>
    <row r="208" spans="1:12" ht="13" customHeight="1" x14ac:dyDescent="0.15">
      <c r="A208" s="48"/>
      <c r="B208" s="7"/>
      <c r="C208" s="5"/>
      <c r="D208" s="5"/>
      <c r="E208" s="5"/>
      <c r="F208" s="5"/>
      <c r="G208" s="7"/>
      <c r="H208" s="7"/>
      <c r="I208" s="7"/>
      <c r="J208" s="7"/>
      <c r="K208" s="7"/>
      <c r="L208" s="7"/>
    </row>
    <row r="209" spans="1:12" ht="13" customHeight="1" x14ac:dyDescent="0.15">
      <c r="A209" s="48"/>
      <c r="B209" s="7"/>
      <c r="C209" s="5"/>
      <c r="D209" s="5"/>
      <c r="E209" s="5"/>
      <c r="F209" s="5"/>
      <c r="G209" s="7"/>
      <c r="H209" s="7"/>
      <c r="I209" s="7"/>
      <c r="J209" s="7"/>
      <c r="K209" s="7"/>
      <c r="L209" s="7"/>
    </row>
    <row r="210" spans="1:12" ht="13" customHeight="1" x14ac:dyDescent="0.15">
      <c r="A210" s="48"/>
      <c r="B210" s="7"/>
      <c r="C210" s="5"/>
      <c r="D210" s="5"/>
      <c r="E210" s="5"/>
      <c r="F210" s="5"/>
      <c r="G210" s="7"/>
      <c r="H210" s="7"/>
      <c r="I210" s="7"/>
      <c r="J210" s="7"/>
      <c r="K210" s="7"/>
      <c r="L210" s="7"/>
    </row>
    <row r="211" spans="1:12" ht="13" customHeight="1" x14ac:dyDescent="0.15">
      <c r="A211" s="48"/>
      <c r="B211" s="7"/>
      <c r="C211" s="5"/>
      <c r="D211" s="5"/>
      <c r="E211" s="5"/>
      <c r="F211" s="5"/>
      <c r="G211" s="7"/>
      <c r="H211" s="7"/>
      <c r="I211" s="7"/>
      <c r="J211" s="7"/>
      <c r="K211" s="7"/>
      <c r="L211" s="7"/>
    </row>
    <row r="212" spans="1:12" ht="13" customHeight="1" x14ac:dyDescent="0.15">
      <c r="A212" s="48"/>
      <c r="B212" s="7"/>
      <c r="C212" s="5"/>
      <c r="D212" s="5"/>
      <c r="E212" s="5"/>
      <c r="F212" s="5"/>
      <c r="G212" s="7"/>
      <c r="H212" s="7"/>
      <c r="I212" s="7"/>
      <c r="J212" s="7"/>
      <c r="K212" s="7"/>
      <c r="L212" s="7"/>
    </row>
    <row r="213" spans="1:12" ht="13" customHeight="1" x14ac:dyDescent="0.15">
      <c r="A213" s="48"/>
      <c r="B213" s="7"/>
      <c r="C213" s="5"/>
      <c r="D213" s="5"/>
      <c r="E213" s="5"/>
      <c r="F213" s="5"/>
      <c r="G213" s="7"/>
      <c r="H213" s="7"/>
      <c r="I213" s="7"/>
      <c r="J213" s="7"/>
      <c r="K213" s="7"/>
      <c r="L213" s="7"/>
    </row>
    <row r="214" spans="1:12" ht="13" customHeight="1" x14ac:dyDescent="0.15">
      <c r="A214" s="48"/>
      <c r="B214" s="7"/>
      <c r="C214" s="5"/>
      <c r="D214" s="5"/>
      <c r="E214" s="5"/>
      <c r="F214" s="5"/>
      <c r="G214" s="7"/>
      <c r="H214" s="7"/>
      <c r="I214" s="7"/>
      <c r="J214" s="7"/>
      <c r="K214" s="7"/>
      <c r="L214" s="7"/>
    </row>
    <row r="215" spans="1:12" ht="13" customHeight="1" x14ac:dyDescent="0.15">
      <c r="A215" s="48"/>
      <c r="B215" s="7"/>
      <c r="C215" s="5"/>
      <c r="D215" s="5"/>
      <c r="E215" s="5"/>
      <c r="F215" s="5"/>
      <c r="G215" s="7"/>
      <c r="H215" s="7"/>
      <c r="I215" s="7"/>
      <c r="J215" s="7"/>
      <c r="K215" s="7"/>
      <c r="L215" s="7"/>
    </row>
    <row r="216" spans="1:12" ht="13" customHeight="1" x14ac:dyDescent="0.15">
      <c r="A216" s="48"/>
      <c r="B216" s="7"/>
      <c r="C216" s="5"/>
      <c r="D216" s="5"/>
      <c r="E216" s="5"/>
      <c r="F216" s="5"/>
      <c r="G216" s="7"/>
      <c r="H216" s="7"/>
      <c r="I216" s="7"/>
      <c r="J216" s="7"/>
      <c r="K216" s="7"/>
      <c r="L216" s="7"/>
    </row>
    <row r="217" spans="1:12" ht="13" customHeight="1" x14ac:dyDescent="0.15">
      <c r="A217" s="48"/>
      <c r="B217" s="7"/>
      <c r="C217" s="5"/>
      <c r="D217" s="5"/>
      <c r="E217" s="5"/>
      <c r="F217" s="5"/>
      <c r="G217" s="7"/>
      <c r="H217" s="7"/>
      <c r="I217" s="7"/>
      <c r="J217" s="7"/>
      <c r="K217" s="7"/>
      <c r="L217" s="7"/>
    </row>
    <row r="218" spans="1:12" ht="13" customHeight="1" x14ac:dyDescent="0.15">
      <c r="A218" s="48"/>
      <c r="B218" s="7"/>
      <c r="C218" s="5"/>
      <c r="D218" s="5"/>
      <c r="E218" s="5"/>
      <c r="F218" s="5"/>
      <c r="G218" s="7"/>
      <c r="H218" s="7"/>
      <c r="I218" s="7"/>
      <c r="J218" s="7"/>
      <c r="K218" s="7"/>
      <c r="L218" s="7"/>
    </row>
    <row r="219" spans="1:12" ht="13" customHeight="1" x14ac:dyDescent="0.15">
      <c r="A219" s="48"/>
      <c r="B219" s="7"/>
      <c r="C219" s="5"/>
      <c r="D219" s="5"/>
      <c r="E219" s="5"/>
      <c r="F219" s="5"/>
      <c r="G219" s="7"/>
      <c r="H219" s="7"/>
      <c r="I219" s="7"/>
      <c r="J219" s="7"/>
      <c r="K219" s="7"/>
      <c r="L219" s="7"/>
    </row>
    <row r="220" spans="1:12" ht="13" customHeight="1" x14ac:dyDescent="0.15">
      <c r="A220" s="48"/>
      <c r="B220" s="7"/>
      <c r="C220" s="5"/>
      <c r="D220" s="5"/>
      <c r="E220" s="5"/>
      <c r="F220" s="5"/>
      <c r="G220" s="7"/>
      <c r="H220" s="7"/>
      <c r="I220" s="7"/>
      <c r="J220" s="7"/>
      <c r="K220" s="7"/>
      <c r="L220" s="7"/>
    </row>
    <row r="221" spans="1:12" ht="13" customHeight="1" x14ac:dyDescent="0.15">
      <c r="A221" s="48"/>
      <c r="B221" s="7"/>
      <c r="C221" s="5"/>
      <c r="D221" s="5"/>
      <c r="E221" s="5"/>
      <c r="F221" s="5"/>
      <c r="G221" s="7"/>
      <c r="H221" s="7"/>
      <c r="I221" s="7"/>
      <c r="J221" s="7"/>
      <c r="K221" s="7"/>
      <c r="L221" s="7"/>
    </row>
    <row r="222" spans="1:12" ht="13" customHeight="1" x14ac:dyDescent="0.15">
      <c r="A222" s="48"/>
      <c r="B222" s="7"/>
      <c r="C222" s="5"/>
      <c r="D222" s="5"/>
      <c r="E222" s="5"/>
      <c r="F222" s="5"/>
      <c r="G222" s="7"/>
      <c r="H222" s="7"/>
      <c r="I222" s="7"/>
      <c r="J222" s="7"/>
      <c r="K222" s="7"/>
      <c r="L222" s="7"/>
    </row>
    <row r="223" spans="1:12" ht="13" customHeight="1" x14ac:dyDescent="0.15">
      <c r="A223" s="48"/>
      <c r="B223" s="7"/>
      <c r="C223" s="5"/>
      <c r="D223" s="5"/>
      <c r="E223" s="5"/>
      <c r="F223" s="5"/>
      <c r="G223" s="7"/>
      <c r="H223" s="7"/>
      <c r="I223" s="7"/>
      <c r="J223" s="7"/>
      <c r="K223" s="7"/>
      <c r="L223" s="7"/>
    </row>
    <row r="224" spans="1:12" ht="13" customHeight="1" x14ac:dyDescent="0.15">
      <c r="A224" s="48"/>
      <c r="B224" s="7"/>
      <c r="C224" s="5"/>
      <c r="D224" s="5"/>
      <c r="E224" s="5"/>
      <c r="F224" s="5"/>
      <c r="G224" s="7"/>
      <c r="H224" s="7"/>
      <c r="I224" s="7"/>
      <c r="J224" s="7"/>
      <c r="K224" s="7"/>
      <c r="L224" s="7"/>
    </row>
    <row r="225" spans="1:12" ht="13" customHeight="1" x14ac:dyDescent="0.15">
      <c r="A225" s="48"/>
      <c r="B225" s="7"/>
      <c r="C225" s="5"/>
      <c r="D225" s="5"/>
      <c r="E225" s="5"/>
      <c r="F225" s="5"/>
      <c r="G225" s="7"/>
      <c r="H225" s="7"/>
      <c r="I225" s="7"/>
      <c r="J225" s="7"/>
      <c r="K225" s="7"/>
      <c r="L225" s="7"/>
    </row>
    <row r="226" spans="1:12" ht="13" customHeight="1" x14ac:dyDescent="0.15">
      <c r="A226" s="48"/>
      <c r="B226" s="7"/>
      <c r="C226" s="5"/>
      <c r="D226" s="5"/>
      <c r="E226" s="5"/>
      <c r="F226" s="5"/>
      <c r="G226" s="7"/>
      <c r="H226" s="7"/>
      <c r="I226" s="7"/>
      <c r="J226" s="7"/>
      <c r="K226" s="7"/>
      <c r="L226" s="7"/>
    </row>
    <row r="227" spans="1:12" ht="13" customHeight="1" x14ac:dyDescent="0.15">
      <c r="A227" s="48"/>
      <c r="B227" s="7"/>
      <c r="C227" s="5"/>
      <c r="D227" s="5"/>
      <c r="E227" s="5"/>
      <c r="F227" s="5"/>
      <c r="G227" s="7"/>
      <c r="H227" s="7"/>
      <c r="I227" s="7"/>
      <c r="J227" s="7"/>
      <c r="K227" s="7"/>
      <c r="L227" s="7"/>
    </row>
    <row r="228" spans="1:12" ht="13" customHeight="1" x14ac:dyDescent="0.15">
      <c r="A228" s="48"/>
      <c r="B228" s="7"/>
      <c r="C228" s="5"/>
      <c r="D228" s="5"/>
      <c r="E228" s="5"/>
      <c r="F228" s="5"/>
      <c r="G228" s="7"/>
      <c r="H228" s="7"/>
      <c r="I228" s="7"/>
      <c r="J228" s="7"/>
      <c r="K228" s="7"/>
      <c r="L228" s="7"/>
    </row>
    <row r="229" spans="1:12" ht="13" customHeight="1" x14ac:dyDescent="0.15">
      <c r="A229" s="48"/>
      <c r="B229" s="7"/>
      <c r="C229" s="5"/>
      <c r="D229" s="5"/>
      <c r="E229" s="5"/>
      <c r="F229" s="5"/>
      <c r="G229" s="7"/>
      <c r="H229" s="7"/>
      <c r="I229" s="7"/>
      <c r="J229" s="7"/>
      <c r="K229" s="7"/>
      <c r="L229" s="7"/>
    </row>
    <row r="230" spans="1:12" ht="13" customHeight="1" x14ac:dyDescent="0.15">
      <c r="A230" s="48"/>
      <c r="B230" s="7"/>
      <c r="C230" s="5"/>
      <c r="D230" s="5"/>
      <c r="E230" s="5"/>
      <c r="F230" s="5"/>
      <c r="G230" s="7"/>
      <c r="H230" s="7"/>
      <c r="I230" s="7"/>
      <c r="J230" s="7"/>
      <c r="K230" s="7"/>
      <c r="L230" s="7"/>
    </row>
    <row r="231" spans="1:12" ht="13" customHeight="1" x14ac:dyDescent="0.15">
      <c r="A231" s="48"/>
      <c r="B231" s="7"/>
      <c r="C231" s="5"/>
      <c r="D231" s="5"/>
      <c r="E231" s="5"/>
      <c r="F231" s="5"/>
      <c r="G231" s="7"/>
      <c r="H231" s="7"/>
      <c r="I231" s="7"/>
      <c r="J231" s="7"/>
      <c r="K231" s="7"/>
      <c r="L231" s="7"/>
    </row>
    <row r="232" spans="1:12" ht="13" customHeight="1" x14ac:dyDescent="0.15">
      <c r="A232" s="48"/>
      <c r="B232" s="7"/>
      <c r="C232" s="5"/>
      <c r="D232" s="5"/>
      <c r="E232" s="5"/>
      <c r="F232" s="5"/>
      <c r="G232" s="7"/>
      <c r="H232" s="7"/>
      <c r="I232" s="7"/>
      <c r="J232" s="7"/>
      <c r="K232" s="7"/>
      <c r="L232" s="7"/>
    </row>
    <row r="233" spans="1:12" ht="13" customHeight="1" x14ac:dyDescent="0.15">
      <c r="A233" s="48"/>
      <c r="B233" s="7"/>
      <c r="C233" s="5"/>
      <c r="D233" s="5"/>
      <c r="E233" s="5"/>
      <c r="F233" s="5"/>
      <c r="G233" s="7"/>
      <c r="H233" s="7"/>
      <c r="I233" s="7"/>
      <c r="J233" s="7"/>
      <c r="K233" s="7"/>
      <c r="L233" s="7"/>
    </row>
    <row r="234" spans="1:12" ht="13" customHeight="1" x14ac:dyDescent="0.15">
      <c r="A234" s="48"/>
      <c r="B234" s="7"/>
      <c r="C234" s="5"/>
      <c r="D234" s="5"/>
      <c r="E234" s="5"/>
      <c r="F234" s="5"/>
      <c r="G234" s="7"/>
      <c r="H234" s="7"/>
      <c r="I234" s="7"/>
      <c r="J234" s="7"/>
      <c r="K234" s="7"/>
      <c r="L234" s="7"/>
    </row>
    <row r="235" spans="1:12" ht="13" customHeight="1" x14ac:dyDescent="0.15">
      <c r="A235" s="48"/>
      <c r="B235" s="7"/>
      <c r="C235" s="5"/>
      <c r="D235" s="5"/>
      <c r="E235" s="5"/>
      <c r="F235" s="5"/>
      <c r="G235" s="7"/>
      <c r="H235" s="7"/>
      <c r="I235" s="7"/>
      <c r="J235" s="7"/>
      <c r="K235" s="7"/>
      <c r="L235" s="7"/>
    </row>
    <row r="236" spans="1:12" ht="13" customHeight="1" x14ac:dyDescent="0.15">
      <c r="A236" s="48"/>
      <c r="B236" s="7"/>
      <c r="C236" s="5"/>
      <c r="D236" s="5"/>
      <c r="E236" s="5"/>
      <c r="F236" s="5"/>
      <c r="G236" s="7"/>
      <c r="H236" s="7"/>
      <c r="I236" s="7"/>
      <c r="J236" s="7"/>
      <c r="K236" s="7"/>
      <c r="L236" s="7"/>
    </row>
    <row r="237" spans="1:12" ht="13" customHeight="1" x14ac:dyDescent="0.15">
      <c r="A237" s="48"/>
      <c r="B237" s="7"/>
      <c r="C237" s="5"/>
      <c r="D237" s="5"/>
      <c r="E237" s="5"/>
      <c r="F237" s="5"/>
      <c r="G237" s="7"/>
      <c r="H237" s="7"/>
      <c r="I237" s="7"/>
      <c r="J237" s="7"/>
      <c r="K237" s="7"/>
      <c r="L237" s="7"/>
    </row>
    <row r="238" spans="1:12" ht="13" customHeight="1" x14ac:dyDescent="0.15">
      <c r="A238" s="48"/>
      <c r="B238" s="7"/>
      <c r="C238" s="5"/>
      <c r="D238" s="5"/>
      <c r="E238" s="5"/>
      <c r="F238" s="5"/>
      <c r="G238" s="7"/>
      <c r="H238" s="7"/>
      <c r="I238" s="7"/>
      <c r="J238" s="7"/>
      <c r="K238" s="7"/>
      <c r="L238" s="7"/>
    </row>
    <row r="239" spans="1:12" ht="13" customHeight="1" x14ac:dyDescent="0.15">
      <c r="A239" s="48"/>
      <c r="B239" s="7"/>
      <c r="C239" s="5"/>
      <c r="D239" s="5"/>
      <c r="E239" s="5"/>
      <c r="F239" s="5"/>
      <c r="G239" s="7"/>
      <c r="H239" s="7"/>
      <c r="I239" s="7"/>
      <c r="J239" s="7"/>
      <c r="K239" s="7"/>
      <c r="L239" s="7"/>
    </row>
    <row r="240" spans="1:12" ht="13" customHeight="1" x14ac:dyDescent="0.15">
      <c r="A240" s="48"/>
      <c r="B240" s="7"/>
      <c r="C240" s="5"/>
      <c r="D240" s="5"/>
      <c r="E240" s="5"/>
      <c r="F240" s="5"/>
      <c r="G240" s="7"/>
      <c r="H240" s="7"/>
      <c r="I240" s="7"/>
      <c r="J240" s="7"/>
      <c r="K240" s="7"/>
      <c r="L240" s="7"/>
    </row>
    <row r="241" spans="1:12" ht="13" customHeight="1" x14ac:dyDescent="0.15">
      <c r="A241" s="48"/>
      <c r="B241" s="7"/>
      <c r="C241" s="5"/>
      <c r="D241" s="5"/>
      <c r="E241" s="5"/>
      <c r="F241" s="5"/>
      <c r="G241" s="7"/>
      <c r="H241" s="7"/>
      <c r="I241" s="7"/>
      <c r="J241" s="7"/>
      <c r="K241" s="7"/>
      <c r="L241" s="7"/>
    </row>
    <row r="242" spans="1:12" ht="13" customHeight="1" x14ac:dyDescent="0.15">
      <c r="A242" s="48"/>
      <c r="B242" s="7"/>
      <c r="C242" s="5"/>
      <c r="D242" s="5"/>
      <c r="E242" s="5"/>
      <c r="F242" s="5"/>
      <c r="G242" s="7"/>
      <c r="H242" s="7"/>
      <c r="I242" s="7"/>
      <c r="J242" s="7"/>
      <c r="K242" s="7"/>
      <c r="L242" s="7"/>
    </row>
    <row r="243" spans="1:12" ht="13" customHeight="1" x14ac:dyDescent="0.15">
      <c r="A243" s="48"/>
      <c r="B243" s="7"/>
      <c r="C243" s="5"/>
      <c r="D243" s="5"/>
      <c r="E243" s="5"/>
      <c r="F243" s="5"/>
      <c r="G243" s="7"/>
      <c r="H243" s="7"/>
      <c r="I243" s="7"/>
      <c r="J243" s="7"/>
      <c r="K243" s="7"/>
      <c r="L243" s="7"/>
    </row>
    <row r="244" spans="1:12" ht="13" customHeight="1" x14ac:dyDescent="0.15">
      <c r="A244" s="48"/>
      <c r="B244" s="7"/>
      <c r="C244" s="5"/>
      <c r="D244" s="5"/>
      <c r="E244" s="5"/>
      <c r="F244" s="5"/>
      <c r="G244" s="7"/>
      <c r="H244" s="7"/>
      <c r="I244" s="7"/>
      <c r="J244" s="7"/>
      <c r="K244" s="7"/>
      <c r="L244" s="7"/>
    </row>
    <row r="245" spans="1:12" ht="13" customHeight="1" x14ac:dyDescent="0.15">
      <c r="A245" s="48"/>
      <c r="B245" s="7"/>
      <c r="C245" s="5"/>
      <c r="D245" s="5"/>
      <c r="E245" s="5"/>
      <c r="F245" s="5"/>
      <c r="G245" s="7"/>
      <c r="H245" s="7"/>
      <c r="I245" s="7"/>
      <c r="J245" s="7"/>
      <c r="K245" s="7"/>
      <c r="L245" s="7"/>
    </row>
    <row r="246" spans="1:12" ht="13" customHeight="1" x14ac:dyDescent="0.15">
      <c r="A246" s="48"/>
      <c r="B246" s="7"/>
      <c r="C246" s="5"/>
      <c r="D246" s="5"/>
      <c r="E246" s="5"/>
      <c r="F246" s="5"/>
      <c r="G246" s="7"/>
      <c r="H246" s="7"/>
      <c r="I246" s="7"/>
      <c r="J246" s="7"/>
      <c r="K246" s="7"/>
      <c r="L246" s="7"/>
    </row>
    <row r="247" spans="1:12" ht="13" customHeight="1" x14ac:dyDescent="0.15">
      <c r="A247" s="48"/>
      <c r="B247" s="7"/>
      <c r="C247" s="5"/>
      <c r="D247" s="5"/>
      <c r="E247" s="5"/>
      <c r="F247" s="5"/>
      <c r="G247" s="7"/>
      <c r="H247" s="7"/>
      <c r="I247" s="7"/>
      <c r="J247" s="7"/>
      <c r="K247" s="7"/>
      <c r="L247" s="7"/>
    </row>
    <row r="248" spans="1:12" ht="13" customHeight="1" x14ac:dyDescent="0.15">
      <c r="A248" s="48"/>
      <c r="B248" s="7"/>
      <c r="C248" s="5"/>
      <c r="D248" s="5"/>
      <c r="E248" s="5"/>
      <c r="F248" s="5"/>
      <c r="G248" s="7"/>
      <c r="H248" s="7"/>
      <c r="I248" s="7"/>
      <c r="J248" s="7"/>
      <c r="K248" s="7"/>
      <c r="L248" s="7"/>
    </row>
    <row r="249" spans="1:12" ht="13" customHeight="1" x14ac:dyDescent="0.15">
      <c r="A249" s="48"/>
      <c r="B249" s="7"/>
      <c r="C249" s="5"/>
      <c r="D249" s="5"/>
      <c r="E249" s="5"/>
      <c r="F249" s="5"/>
      <c r="G249" s="7"/>
      <c r="H249" s="7"/>
      <c r="I249" s="7"/>
      <c r="J249" s="7"/>
      <c r="K249" s="7"/>
      <c r="L249" s="7"/>
    </row>
    <row r="250" spans="1:12" ht="13" customHeight="1" x14ac:dyDescent="0.15">
      <c r="A250" s="48"/>
      <c r="B250" s="7"/>
      <c r="C250" s="5"/>
      <c r="D250" s="5"/>
      <c r="E250" s="5"/>
      <c r="F250" s="5"/>
      <c r="G250" s="7"/>
      <c r="H250" s="7"/>
      <c r="I250" s="7"/>
      <c r="J250" s="7"/>
      <c r="K250" s="7"/>
      <c r="L250" s="7"/>
    </row>
    <row r="251" spans="1:12" ht="13" customHeight="1" x14ac:dyDescent="0.15">
      <c r="A251" s="48"/>
      <c r="B251" s="7"/>
      <c r="C251" s="5"/>
      <c r="D251" s="5"/>
      <c r="E251" s="5"/>
      <c r="F251" s="5"/>
      <c r="G251" s="7"/>
      <c r="H251" s="7"/>
      <c r="I251" s="7"/>
      <c r="J251" s="7"/>
      <c r="K251" s="7"/>
      <c r="L251" s="7"/>
    </row>
    <row r="252" spans="1:12" ht="13" customHeight="1" x14ac:dyDescent="0.15">
      <c r="A252" s="48"/>
      <c r="B252" s="7"/>
      <c r="C252" s="5"/>
      <c r="D252" s="5"/>
      <c r="E252" s="5"/>
      <c r="F252" s="5"/>
      <c r="G252" s="7"/>
      <c r="H252" s="7"/>
      <c r="I252" s="7"/>
      <c r="J252" s="7"/>
      <c r="K252" s="7"/>
      <c r="L252" s="7"/>
    </row>
    <row r="253" spans="1:12" ht="13" customHeight="1" x14ac:dyDescent="0.15">
      <c r="A253" s="48"/>
      <c r="B253" s="7"/>
      <c r="C253" s="5"/>
      <c r="D253" s="5"/>
      <c r="E253" s="5"/>
      <c r="F253" s="5"/>
      <c r="G253" s="7"/>
      <c r="H253" s="7"/>
      <c r="I253" s="7"/>
      <c r="J253" s="7"/>
      <c r="K253" s="7"/>
      <c r="L253" s="7"/>
    </row>
    <row r="254" spans="1:12" ht="13" customHeight="1" x14ac:dyDescent="0.15">
      <c r="A254" s="48"/>
      <c r="B254" s="7"/>
      <c r="C254" s="5"/>
      <c r="D254" s="5"/>
      <c r="E254" s="5"/>
      <c r="F254" s="5"/>
      <c r="G254" s="7"/>
      <c r="H254" s="7"/>
      <c r="I254" s="7"/>
      <c r="J254" s="7"/>
      <c r="K254" s="7"/>
      <c r="L254" s="7"/>
    </row>
    <row r="255" spans="1:12" ht="13" customHeight="1" x14ac:dyDescent="0.15">
      <c r="A255" s="48"/>
      <c r="B255" s="7"/>
      <c r="C255" s="5"/>
      <c r="D255" s="5"/>
      <c r="E255" s="5"/>
      <c r="F255" s="5"/>
      <c r="G255" s="7"/>
      <c r="H255" s="7"/>
      <c r="I255" s="7"/>
      <c r="J255" s="7"/>
      <c r="K255" s="7"/>
      <c r="L255" s="7"/>
    </row>
    <row r="256" spans="1:12" ht="13" customHeight="1" x14ac:dyDescent="0.15">
      <c r="A256" s="48"/>
      <c r="B256" s="7"/>
      <c r="C256" s="5"/>
      <c r="D256" s="5"/>
      <c r="E256" s="5"/>
      <c r="F256" s="5"/>
      <c r="G256" s="7"/>
      <c r="H256" s="7"/>
      <c r="I256" s="7"/>
      <c r="J256" s="7"/>
      <c r="K256" s="7"/>
      <c r="L256" s="7"/>
    </row>
    <row r="257" spans="1:12" ht="13" customHeight="1" x14ac:dyDescent="0.15">
      <c r="A257" s="48"/>
      <c r="B257" s="7"/>
      <c r="C257" s="5"/>
      <c r="D257" s="5"/>
      <c r="E257" s="5"/>
      <c r="F257" s="5"/>
      <c r="G257" s="7"/>
      <c r="H257" s="7"/>
      <c r="I257" s="7"/>
      <c r="J257" s="7"/>
      <c r="K257" s="7"/>
      <c r="L257" s="7"/>
    </row>
    <row r="258" spans="1:12" ht="13" customHeight="1" x14ac:dyDescent="0.15">
      <c r="A258" s="48"/>
      <c r="B258" s="7"/>
      <c r="C258" s="5"/>
      <c r="D258" s="5"/>
      <c r="E258" s="5"/>
      <c r="F258" s="5"/>
      <c r="G258" s="7"/>
      <c r="H258" s="7"/>
      <c r="I258" s="7"/>
      <c r="J258" s="7"/>
      <c r="K258" s="7"/>
      <c r="L258" s="7"/>
    </row>
    <row r="259" spans="1:12" ht="13" customHeight="1" x14ac:dyDescent="0.15">
      <c r="A259" s="48"/>
      <c r="B259" s="7"/>
      <c r="C259" s="5"/>
      <c r="D259" s="5"/>
      <c r="E259" s="5"/>
      <c r="F259" s="5"/>
      <c r="G259" s="7"/>
      <c r="H259" s="7"/>
      <c r="I259" s="7"/>
      <c r="J259" s="7"/>
      <c r="K259" s="7"/>
      <c r="L259" s="7"/>
    </row>
    <row r="260" spans="1:12" ht="13" customHeight="1" x14ac:dyDescent="0.15">
      <c r="A260" s="48"/>
      <c r="B260" s="7"/>
      <c r="C260" s="5"/>
      <c r="D260" s="5"/>
      <c r="E260" s="5"/>
      <c r="F260" s="5"/>
      <c r="G260" s="7"/>
      <c r="H260" s="7"/>
      <c r="I260" s="7"/>
      <c r="J260" s="7"/>
      <c r="K260" s="7"/>
      <c r="L260" s="7"/>
    </row>
    <row r="261" spans="1:12" ht="13" customHeight="1" x14ac:dyDescent="0.15">
      <c r="A261" s="48"/>
      <c r="B261" s="7"/>
      <c r="C261" s="5"/>
      <c r="D261" s="5"/>
      <c r="E261" s="5"/>
      <c r="F261" s="5"/>
      <c r="G261" s="7"/>
      <c r="H261" s="7"/>
      <c r="I261" s="7"/>
      <c r="J261" s="7"/>
      <c r="K261" s="7"/>
      <c r="L261" s="7"/>
    </row>
    <row r="262" spans="1:12" ht="13" customHeight="1" x14ac:dyDescent="0.15">
      <c r="A262" s="48"/>
      <c r="B262" s="7"/>
      <c r="C262" s="5"/>
      <c r="D262" s="5"/>
      <c r="E262" s="5"/>
      <c r="F262" s="5"/>
      <c r="G262" s="7"/>
      <c r="H262" s="7"/>
      <c r="I262" s="7"/>
      <c r="J262" s="7"/>
      <c r="K262" s="7"/>
      <c r="L262" s="7"/>
    </row>
    <row r="263" spans="1:12" ht="13" customHeight="1" x14ac:dyDescent="0.15">
      <c r="A263" s="48"/>
      <c r="B263" s="7"/>
      <c r="C263" s="5"/>
      <c r="D263" s="5"/>
      <c r="E263" s="5"/>
      <c r="F263" s="5"/>
      <c r="G263" s="7"/>
      <c r="H263" s="7"/>
      <c r="I263" s="7"/>
      <c r="J263" s="7"/>
      <c r="K263" s="7"/>
      <c r="L263" s="7"/>
    </row>
    <row r="264" spans="1:12" ht="13" customHeight="1" x14ac:dyDescent="0.15">
      <c r="A264" s="48"/>
      <c r="B264" s="7"/>
      <c r="C264" s="5"/>
      <c r="D264" s="5"/>
      <c r="E264" s="5"/>
      <c r="F264" s="5"/>
      <c r="G264" s="7"/>
      <c r="H264" s="7"/>
      <c r="I264" s="7"/>
      <c r="J264" s="7"/>
      <c r="K264" s="7"/>
      <c r="L264" s="7"/>
    </row>
    <row r="265" spans="1:12" ht="13" customHeight="1" x14ac:dyDescent="0.15">
      <c r="A265" s="48"/>
      <c r="B265" s="7"/>
      <c r="C265" s="5"/>
      <c r="D265" s="5"/>
      <c r="E265" s="5"/>
      <c r="F265" s="5"/>
      <c r="G265" s="7"/>
      <c r="H265" s="7"/>
      <c r="I265" s="7"/>
      <c r="J265" s="7"/>
      <c r="K265" s="7"/>
      <c r="L265" s="7"/>
    </row>
    <row r="266" spans="1:12" ht="13" customHeight="1" x14ac:dyDescent="0.15">
      <c r="A266" s="48"/>
      <c r="B266" s="7"/>
      <c r="C266" s="5"/>
      <c r="D266" s="5"/>
      <c r="E266" s="5"/>
      <c r="F266" s="5"/>
      <c r="G266" s="7"/>
      <c r="H266" s="7"/>
      <c r="I266" s="7"/>
      <c r="J266" s="7"/>
      <c r="K266" s="7"/>
      <c r="L266" s="7"/>
    </row>
    <row r="267" spans="1:12" ht="13" customHeight="1" x14ac:dyDescent="0.15">
      <c r="A267" s="48"/>
      <c r="B267" s="7"/>
      <c r="C267" s="5"/>
      <c r="D267" s="5"/>
      <c r="E267" s="5"/>
      <c r="F267" s="5"/>
      <c r="G267" s="7"/>
      <c r="H267" s="7"/>
      <c r="I267" s="7"/>
      <c r="J267" s="7"/>
      <c r="K267" s="7"/>
      <c r="L267" s="7"/>
    </row>
    <row r="268" spans="1:12" ht="13" customHeight="1" x14ac:dyDescent="0.15">
      <c r="A268" s="48"/>
      <c r="B268" s="7"/>
      <c r="C268" s="5"/>
      <c r="D268" s="5"/>
      <c r="E268" s="5"/>
      <c r="F268" s="5"/>
      <c r="G268" s="7"/>
      <c r="H268" s="7"/>
      <c r="I268" s="7"/>
      <c r="J268" s="7"/>
      <c r="K268" s="7"/>
      <c r="L268" s="7"/>
    </row>
    <row r="269" spans="1:12" ht="13" customHeight="1" x14ac:dyDescent="0.15">
      <c r="A269" s="48"/>
      <c r="B269" s="7"/>
      <c r="C269" s="5"/>
      <c r="D269" s="5"/>
      <c r="E269" s="5"/>
      <c r="F269" s="5"/>
      <c r="G269" s="7"/>
      <c r="H269" s="7"/>
      <c r="I269" s="7"/>
      <c r="J269" s="7"/>
      <c r="K269" s="7"/>
      <c r="L269" s="7"/>
    </row>
    <row r="270" spans="1:12" ht="13" customHeight="1" x14ac:dyDescent="0.15">
      <c r="A270" s="48"/>
      <c r="B270" s="7"/>
      <c r="C270" s="5"/>
      <c r="D270" s="5"/>
      <c r="E270" s="5"/>
      <c r="F270" s="5"/>
      <c r="G270" s="7"/>
      <c r="H270" s="7"/>
      <c r="I270" s="7"/>
      <c r="J270" s="7"/>
      <c r="K270" s="7"/>
      <c r="L270" s="7"/>
    </row>
    <row r="271" spans="1:12" ht="13" customHeight="1" x14ac:dyDescent="0.15">
      <c r="A271" s="48"/>
      <c r="B271" s="7"/>
      <c r="C271" s="5"/>
      <c r="D271" s="5"/>
      <c r="E271" s="5"/>
      <c r="F271" s="5"/>
      <c r="G271" s="7"/>
      <c r="H271" s="7"/>
      <c r="I271" s="7"/>
      <c r="J271" s="7"/>
      <c r="K271" s="7"/>
      <c r="L271" s="7"/>
    </row>
    <row r="272" spans="1:12" ht="13" customHeight="1" x14ac:dyDescent="0.15">
      <c r="A272" s="48"/>
      <c r="B272" s="7"/>
      <c r="C272" s="5"/>
      <c r="D272" s="5"/>
      <c r="E272" s="5"/>
      <c r="F272" s="5"/>
      <c r="G272" s="7"/>
      <c r="H272" s="7"/>
      <c r="I272" s="7"/>
      <c r="J272" s="7"/>
      <c r="K272" s="7"/>
      <c r="L272" s="7"/>
    </row>
    <row r="273" spans="1:12" ht="13" customHeight="1" x14ac:dyDescent="0.15">
      <c r="A273" s="48"/>
      <c r="B273" s="7"/>
      <c r="C273" s="5"/>
      <c r="D273" s="5"/>
      <c r="E273" s="5"/>
      <c r="F273" s="5"/>
      <c r="G273" s="7"/>
      <c r="H273" s="7"/>
      <c r="I273" s="7"/>
      <c r="J273" s="7"/>
      <c r="K273" s="7"/>
      <c r="L273" s="7"/>
    </row>
    <row r="274" spans="1:12" ht="13" customHeight="1" x14ac:dyDescent="0.15">
      <c r="A274" s="48"/>
      <c r="B274" s="7"/>
      <c r="C274" s="5"/>
      <c r="D274" s="5"/>
      <c r="E274" s="5"/>
      <c r="F274" s="5"/>
      <c r="G274" s="7"/>
      <c r="H274" s="7"/>
      <c r="I274" s="7"/>
      <c r="J274" s="7"/>
      <c r="K274" s="7"/>
      <c r="L274" s="7"/>
    </row>
    <row r="275" spans="1:12" ht="13" customHeight="1" x14ac:dyDescent="0.15">
      <c r="A275" s="48"/>
      <c r="B275" s="7"/>
      <c r="C275" s="5"/>
      <c r="D275" s="5"/>
      <c r="E275" s="5"/>
      <c r="F275" s="5"/>
      <c r="G275" s="7"/>
      <c r="H275" s="7"/>
      <c r="I275" s="7"/>
      <c r="J275" s="7"/>
      <c r="K275" s="7"/>
      <c r="L275" s="7"/>
    </row>
    <row r="276" spans="1:12" ht="13" customHeight="1" x14ac:dyDescent="0.15">
      <c r="A276" s="48"/>
      <c r="B276" s="7"/>
      <c r="C276" s="5"/>
      <c r="D276" s="5"/>
      <c r="E276" s="5"/>
      <c r="F276" s="5"/>
      <c r="G276" s="7"/>
      <c r="H276" s="7"/>
      <c r="I276" s="7"/>
      <c r="J276" s="7"/>
      <c r="K276" s="7"/>
      <c r="L276" s="7"/>
    </row>
    <row r="277" spans="1:12" ht="13" customHeight="1" x14ac:dyDescent="0.15">
      <c r="A277" s="48"/>
      <c r="B277" s="7"/>
      <c r="C277" s="5"/>
      <c r="D277" s="5"/>
      <c r="E277" s="5"/>
      <c r="F277" s="5"/>
      <c r="G277" s="7"/>
      <c r="H277" s="7"/>
      <c r="I277" s="7"/>
      <c r="J277" s="7"/>
      <c r="K277" s="7"/>
      <c r="L277" s="7"/>
    </row>
    <row r="278" spans="1:12" ht="13" customHeight="1" x14ac:dyDescent="0.15">
      <c r="A278" s="48"/>
      <c r="B278" s="7"/>
      <c r="C278" s="5"/>
      <c r="D278" s="5"/>
      <c r="E278" s="5"/>
      <c r="F278" s="5"/>
      <c r="G278" s="7"/>
      <c r="H278" s="7"/>
      <c r="I278" s="7"/>
      <c r="J278" s="7"/>
      <c r="K278" s="7"/>
      <c r="L278" s="7"/>
    </row>
    <row r="279" spans="1:12" ht="13" customHeight="1" x14ac:dyDescent="0.15">
      <c r="A279" s="48"/>
      <c r="B279" s="7"/>
      <c r="C279" s="5"/>
      <c r="D279" s="5"/>
      <c r="E279" s="5"/>
      <c r="F279" s="5"/>
      <c r="G279" s="7"/>
      <c r="H279" s="7"/>
      <c r="I279" s="7"/>
      <c r="J279" s="7"/>
      <c r="K279" s="7"/>
      <c r="L279" s="7"/>
    </row>
    <row r="280" spans="1:12" ht="13" customHeight="1" x14ac:dyDescent="0.15">
      <c r="A280" s="48"/>
      <c r="B280" s="7"/>
      <c r="C280" s="5"/>
      <c r="D280" s="5"/>
      <c r="E280" s="5"/>
      <c r="F280" s="5"/>
      <c r="G280" s="7"/>
      <c r="H280" s="7"/>
      <c r="I280" s="7"/>
      <c r="J280" s="7"/>
      <c r="K280" s="7"/>
      <c r="L280" s="7"/>
    </row>
    <row r="281" spans="1:12" ht="13" customHeight="1" x14ac:dyDescent="0.15">
      <c r="A281" s="48"/>
      <c r="B281" s="7"/>
      <c r="C281" s="5"/>
      <c r="D281" s="5"/>
      <c r="E281" s="5"/>
      <c r="F281" s="5"/>
      <c r="G281" s="7"/>
      <c r="H281" s="7"/>
      <c r="I281" s="7"/>
      <c r="J281" s="7"/>
      <c r="K281" s="7"/>
      <c r="L281" s="7"/>
    </row>
    <row r="282" spans="1:12" ht="13" customHeight="1" x14ac:dyDescent="0.15">
      <c r="A282" s="48"/>
      <c r="B282" s="7"/>
      <c r="C282" s="5"/>
      <c r="D282" s="5"/>
      <c r="E282" s="5"/>
      <c r="F282" s="5"/>
      <c r="G282" s="7"/>
      <c r="H282" s="7"/>
      <c r="I282" s="7"/>
      <c r="J282" s="7"/>
      <c r="K282" s="7"/>
      <c r="L282" s="7"/>
    </row>
    <row r="283" spans="1:12" ht="13" customHeight="1" x14ac:dyDescent="0.15">
      <c r="A283" s="48"/>
      <c r="B283" s="7"/>
      <c r="C283" s="5"/>
      <c r="D283" s="5"/>
      <c r="E283" s="5"/>
      <c r="F283" s="5"/>
      <c r="G283" s="7"/>
      <c r="H283" s="7"/>
      <c r="I283" s="7"/>
      <c r="J283" s="7"/>
      <c r="K283" s="7"/>
      <c r="L283" s="7"/>
    </row>
    <row r="284" spans="1:12" ht="13" customHeight="1" x14ac:dyDescent="0.15">
      <c r="A284" s="48"/>
      <c r="B284" s="7"/>
      <c r="C284" s="5"/>
      <c r="D284" s="5"/>
      <c r="E284" s="5"/>
      <c r="F284" s="5"/>
      <c r="G284" s="7"/>
      <c r="H284" s="7"/>
      <c r="I284" s="7"/>
      <c r="J284" s="7"/>
      <c r="K284" s="7"/>
      <c r="L284" s="7"/>
    </row>
    <row r="285" spans="1:12" ht="13" customHeight="1" x14ac:dyDescent="0.15">
      <c r="A285" s="48"/>
      <c r="B285" s="7"/>
      <c r="C285" s="5"/>
      <c r="D285" s="5"/>
      <c r="E285" s="5"/>
      <c r="F285" s="5"/>
      <c r="G285" s="7"/>
      <c r="H285" s="7"/>
      <c r="I285" s="7"/>
      <c r="J285" s="7"/>
      <c r="K285" s="7"/>
      <c r="L285" s="7"/>
    </row>
    <row r="286" spans="1:12" ht="13" customHeight="1" x14ac:dyDescent="0.15">
      <c r="A286" s="48"/>
      <c r="B286" s="7"/>
      <c r="C286" s="5"/>
      <c r="D286" s="5"/>
      <c r="E286" s="5"/>
      <c r="F286" s="5"/>
      <c r="G286" s="7"/>
      <c r="H286" s="7"/>
      <c r="I286" s="7"/>
      <c r="J286" s="7"/>
      <c r="K286" s="7"/>
      <c r="L286" s="7"/>
    </row>
    <row r="287" spans="1:12" ht="13" customHeight="1" x14ac:dyDescent="0.15">
      <c r="A287" s="48"/>
      <c r="B287" s="7"/>
      <c r="C287" s="5"/>
      <c r="D287" s="5"/>
      <c r="E287" s="5"/>
      <c r="F287" s="5"/>
      <c r="G287" s="7"/>
      <c r="H287" s="7"/>
      <c r="I287" s="7"/>
      <c r="J287" s="7"/>
      <c r="K287" s="7"/>
      <c r="L287" s="7"/>
    </row>
    <row r="288" spans="1:12" ht="13" customHeight="1" x14ac:dyDescent="0.15">
      <c r="A288" s="48"/>
      <c r="B288" s="7"/>
      <c r="C288" s="5"/>
      <c r="D288" s="5"/>
      <c r="E288" s="5"/>
      <c r="F288" s="5"/>
      <c r="G288" s="7"/>
      <c r="H288" s="7"/>
      <c r="I288" s="7"/>
      <c r="J288" s="7"/>
      <c r="K288" s="7"/>
      <c r="L288" s="7"/>
    </row>
    <row r="289" spans="1:12" ht="13" customHeight="1" x14ac:dyDescent="0.15">
      <c r="A289" s="48"/>
      <c r="B289" s="7"/>
      <c r="C289" s="5"/>
      <c r="D289" s="5"/>
      <c r="E289" s="5"/>
      <c r="F289" s="5"/>
      <c r="G289" s="7"/>
      <c r="H289" s="7"/>
      <c r="I289" s="7"/>
      <c r="J289" s="7"/>
      <c r="K289" s="7"/>
      <c r="L289" s="7"/>
    </row>
    <row r="290" spans="1:12" ht="13" customHeight="1" x14ac:dyDescent="0.15">
      <c r="A290" s="48"/>
      <c r="B290" s="7"/>
      <c r="C290" s="5"/>
      <c r="D290" s="5"/>
      <c r="E290" s="5"/>
      <c r="F290" s="5"/>
      <c r="G290" s="7"/>
      <c r="H290" s="7"/>
      <c r="I290" s="7"/>
      <c r="J290" s="7"/>
      <c r="K290" s="7"/>
      <c r="L290" s="7"/>
    </row>
    <row r="291" spans="1:12" ht="13" customHeight="1" x14ac:dyDescent="0.15">
      <c r="A291" s="48"/>
      <c r="B291" s="7"/>
      <c r="C291" s="5"/>
      <c r="D291" s="5"/>
      <c r="E291" s="5"/>
      <c r="F291" s="5"/>
      <c r="G291" s="7"/>
      <c r="H291" s="7"/>
      <c r="I291" s="7"/>
      <c r="J291" s="7"/>
      <c r="K291" s="7"/>
      <c r="L291" s="7"/>
    </row>
    <row r="292" spans="1:12" ht="13" customHeight="1" x14ac:dyDescent="0.15">
      <c r="A292" s="48"/>
      <c r="B292" s="7"/>
      <c r="C292" s="5"/>
      <c r="D292" s="5"/>
      <c r="E292" s="5"/>
      <c r="F292" s="5"/>
      <c r="G292" s="7"/>
      <c r="H292" s="7"/>
      <c r="I292" s="7"/>
      <c r="J292" s="7"/>
      <c r="K292" s="7"/>
      <c r="L292" s="7"/>
    </row>
    <row r="293" spans="1:12" ht="13" customHeight="1" x14ac:dyDescent="0.15">
      <c r="A293" s="48"/>
      <c r="B293" s="7"/>
      <c r="C293" s="5"/>
      <c r="D293" s="5"/>
      <c r="E293" s="5"/>
      <c r="F293" s="5"/>
      <c r="G293" s="7"/>
      <c r="H293" s="7"/>
      <c r="I293" s="7"/>
      <c r="J293" s="7"/>
      <c r="K293" s="7"/>
      <c r="L293" s="7"/>
    </row>
    <row r="294" spans="1:12" ht="13" customHeight="1" x14ac:dyDescent="0.15">
      <c r="A294" s="48"/>
      <c r="B294" s="7"/>
      <c r="C294" s="5"/>
      <c r="D294" s="5"/>
      <c r="E294" s="5"/>
      <c r="F294" s="5"/>
      <c r="G294" s="7"/>
      <c r="H294" s="7"/>
      <c r="I294" s="7"/>
      <c r="J294" s="7"/>
      <c r="K294" s="7"/>
      <c r="L294" s="7"/>
    </row>
    <row r="295" spans="1:12" ht="13" customHeight="1" x14ac:dyDescent="0.15">
      <c r="A295" s="48"/>
      <c r="B295" s="7"/>
      <c r="C295" s="5"/>
      <c r="D295" s="5"/>
      <c r="E295" s="5"/>
      <c r="F295" s="5"/>
      <c r="G295" s="7"/>
      <c r="H295" s="7"/>
      <c r="I295" s="7"/>
      <c r="J295" s="7"/>
      <c r="K295" s="7"/>
      <c r="L295" s="7"/>
    </row>
    <row r="296" spans="1:12" ht="13" customHeight="1" x14ac:dyDescent="0.15">
      <c r="A296" s="48"/>
      <c r="B296" s="7"/>
      <c r="C296" s="5"/>
      <c r="D296" s="5"/>
      <c r="E296" s="5"/>
      <c r="F296" s="5"/>
      <c r="G296" s="7"/>
      <c r="H296" s="7"/>
      <c r="I296" s="7"/>
      <c r="J296" s="7"/>
      <c r="K296" s="7"/>
      <c r="L296" s="7"/>
    </row>
    <row r="297" spans="1:12" ht="13" customHeight="1" x14ac:dyDescent="0.15">
      <c r="A297" s="48"/>
      <c r="B297" s="7"/>
      <c r="C297" s="5"/>
      <c r="D297" s="5"/>
      <c r="E297" s="5"/>
      <c r="F297" s="5"/>
      <c r="G297" s="7"/>
      <c r="H297" s="7"/>
      <c r="I297" s="7"/>
      <c r="J297" s="7"/>
      <c r="K297" s="7"/>
      <c r="L297" s="7"/>
    </row>
    <row r="298" spans="1:12" ht="13" customHeight="1" x14ac:dyDescent="0.15">
      <c r="A298" s="48"/>
      <c r="B298" s="7"/>
      <c r="C298" s="5"/>
      <c r="D298" s="5"/>
      <c r="E298" s="5"/>
      <c r="F298" s="5"/>
      <c r="G298" s="7"/>
      <c r="H298" s="7"/>
      <c r="I298" s="7"/>
      <c r="J298" s="7"/>
      <c r="K298" s="7"/>
      <c r="L298" s="7"/>
    </row>
    <row r="299" spans="1:12" ht="13" customHeight="1" x14ac:dyDescent="0.15">
      <c r="A299" s="48"/>
      <c r="B299" s="7"/>
      <c r="C299" s="5"/>
      <c r="D299" s="5"/>
      <c r="E299" s="5"/>
      <c r="F299" s="5"/>
      <c r="G299" s="7"/>
      <c r="H299" s="7"/>
      <c r="I299" s="7"/>
      <c r="J299" s="7"/>
      <c r="K299" s="7"/>
      <c r="L299" s="7"/>
    </row>
    <row r="300" spans="1:12" ht="13" customHeight="1" x14ac:dyDescent="0.15">
      <c r="A300" s="48"/>
      <c r="B300" s="7"/>
      <c r="C300" s="5"/>
      <c r="D300" s="5"/>
      <c r="E300" s="5"/>
      <c r="F300" s="5"/>
      <c r="G300" s="7"/>
      <c r="H300" s="7"/>
      <c r="I300" s="7"/>
      <c r="J300" s="7"/>
      <c r="K300" s="7"/>
      <c r="L300" s="7"/>
    </row>
    <row r="301" spans="1:12" ht="13" customHeight="1" x14ac:dyDescent="0.15">
      <c r="A301" s="48"/>
      <c r="B301" s="7"/>
      <c r="C301" s="5"/>
      <c r="D301" s="5"/>
      <c r="E301" s="5"/>
      <c r="F301" s="5"/>
      <c r="G301" s="7"/>
      <c r="H301" s="7"/>
      <c r="I301" s="7"/>
      <c r="J301" s="7"/>
      <c r="K301" s="7"/>
      <c r="L301" s="7"/>
    </row>
    <row r="302" spans="1:12" ht="13" customHeight="1" x14ac:dyDescent="0.15">
      <c r="A302" s="48"/>
      <c r="B302" s="7"/>
      <c r="C302" s="5"/>
      <c r="D302" s="5"/>
      <c r="E302" s="5"/>
      <c r="F302" s="5"/>
      <c r="G302" s="7"/>
      <c r="H302" s="7"/>
      <c r="I302" s="7"/>
      <c r="J302" s="7"/>
      <c r="K302" s="7"/>
      <c r="L302" s="7"/>
    </row>
    <row r="303" spans="1:12" ht="13" customHeight="1" x14ac:dyDescent="0.15">
      <c r="A303" s="48"/>
      <c r="B303" s="7"/>
      <c r="C303" s="5"/>
      <c r="D303" s="5"/>
      <c r="E303" s="5"/>
      <c r="F303" s="5"/>
      <c r="G303" s="7"/>
      <c r="H303" s="7"/>
      <c r="I303" s="7"/>
      <c r="J303" s="7"/>
      <c r="K303" s="7"/>
      <c r="L303" s="7"/>
    </row>
    <row r="304" spans="1:12" ht="13" customHeight="1" x14ac:dyDescent="0.15">
      <c r="A304" s="48"/>
      <c r="B304" s="7"/>
      <c r="C304" s="5"/>
      <c r="D304" s="5"/>
      <c r="E304" s="5"/>
      <c r="F304" s="5"/>
      <c r="G304" s="7"/>
      <c r="H304" s="7"/>
      <c r="I304" s="7"/>
      <c r="J304" s="7"/>
      <c r="K304" s="7"/>
      <c r="L304" s="7"/>
    </row>
    <row r="305" spans="1:12" ht="13" customHeight="1" x14ac:dyDescent="0.15">
      <c r="A305" s="48"/>
      <c r="B305" s="7"/>
      <c r="C305" s="5"/>
      <c r="D305" s="5"/>
      <c r="E305" s="5"/>
      <c r="F305" s="5"/>
      <c r="G305" s="7"/>
      <c r="H305" s="7"/>
      <c r="I305" s="7"/>
      <c r="J305" s="7"/>
      <c r="K305" s="7"/>
      <c r="L305" s="7"/>
    </row>
    <row r="306" spans="1:12" ht="13" customHeight="1" x14ac:dyDescent="0.15">
      <c r="A306" s="48"/>
      <c r="B306" s="7"/>
      <c r="C306" s="5"/>
      <c r="D306" s="5"/>
      <c r="E306" s="5"/>
      <c r="F306" s="5"/>
      <c r="G306" s="7"/>
      <c r="H306" s="7"/>
      <c r="I306" s="7"/>
      <c r="J306" s="7"/>
      <c r="K306" s="7"/>
      <c r="L306" s="7"/>
    </row>
    <row r="307" spans="1:12" ht="13" customHeight="1" x14ac:dyDescent="0.15">
      <c r="A307" s="48"/>
      <c r="B307" s="7"/>
      <c r="C307" s="5"/>
      <c r="D307" s="5"/>
      <c r="E307" s="5"/>
      <c r="F307" s="5"/>
      <c r="G307" s="7"/>
      <c r="H307" s="7"/>
      <c r="I307" s="7"/>
      <c r="J307" s="7"/>
      <c r="K307" s="7"/>
      <c r="L307" s="7"/>
    </row>
    <row r="308" spans="1:12" ht="13" customHeight="1" x14ac:dyDescent="0.15">
      <c r="A308" s="48"/>
      <c r="B308" s="7"/>
      <c r="C308" s="5"/>
      <c r="D308" s="5"/>
      <c r="E308" s="5"/>
      <c r="F308" s="5"/>
      <c r="G308" s="7"/>
      <c r="H308" s="7"/>
      <c r="I308" s="7"/>
      <c r="J308" s="7"/>
      <c r="K308" s="7"/>
      <c r="L308" s="7"/>
    </row>
    <row r="309" spans="1:12" ht="13" customHeight="1" x14ac:dyDescent="0.15">
      <c r="A309" s="48"/>
      <c r="B309" s="7"/>
      <c r="C309" s="5"/>
      <c r="D309" s="5"/>
      <c r="E309" s="5"/>
      <c r="F309" s="5"/>
      <c r="G309" s="7"/>
      <c r="H309" s="7"/>
      <c r="I309" s="7"/>
      <c r="J309" s="7"/>
      <c r="K309" s="7"/>
      <c r="L309" s="7"/>
    </row>
    <row r="310" spans="1:12" ht="13" customHeight="1" x14ac:dyDescent="0.15">
      <c r="A310" s="48"/>
      <c r="B310" s="7"/>
      <c r="C310" s="5"/>
      <c r="D310" s="5"/>
      <c r="E310" s="5"/>
      <c r="F310" s="5"/>
      <c r="G310" s="7"/>
      <c r="H310" s="7"/>
      <c r="I310" s="7"/>
      <c r="J310" s="7"/>
      <c r="K310" s="7"/>
      <c r="L310" s="7"/>
    </row>
    <row r="311" spans="1:12" ht="13" customHeight="1" x14ac:dyDescent="0.15">
      <c r="A311" s="48"/>
      <c r="B311" s="7"/>
      <c r="C311" s="5"/>
      <c r="D311" s="5"/>
      <c r="E311" s="5"/>
      <c r="F311" s="5"/>
      <c r="G311" s="7"/>
      <c r="H311" s="7"/>
      <c r="I311" s="7"/>
      <c r="J311" s="7"/>
      <c r="K311" s="7"/>
      <c r="L311" s="7"/>
    </row>
    <row r="312" spans="1:12" ht="13" customHeight="1" x14ac:dyDescent="0.15">
      <c r="A312" s="48"/>
      <c r="B312" s="7"/>
      <c r="C312" s="5"/>
      <c r="D312" s="5"/>
      <c r="E312" s="5"/>
      <c r="F312" s="5"/>
      <c r="G312" s="7"/>
      <c r="H312" s="7"/>
      <c r="I312" s="7"/>
      <c r="J312" s="7"/>
      <c r="K312" s="7"/>
      <c r="L312" s="7"/>
    </row>
    <row r="313" spans="1:12" ht="13" customHeight="1" x14ac:dyDescent="0.15">
      <c r="A313" s="48"/>
      <c r="B313" s="7"/>
      <c r="C313" s="5"/>
      <c r="D313" s="5"/>
      <c r="E313" s="5"/>
      <c r="F313" s="5"/>
      <c r="G313" s="7"/>
      <c r="H313" s="7"/>
      <c r="I313" s="7"/>
      <c r="J313" s="7"/>
      <c r="K313" s="7"/>
      <c r="L313" s="7"/>
    </row>
    <row r="314" spans="1:12" ht="13" customHeight="1" x14ac:dyDescent="0.15">
      <c r="A314" s="48"/>
      <c r="B314" s="7"/>
      <c r="C314" s="5"/>
      <c r="D314" s="5"/>
      <c r="E314" s="5"/>
      <c r="F314" s="5"/>
      <c r="G314" s="7"/>
      <c r="H314" s="7"/>
      <c r="I314" s="7"/>
      <c r="J314" s="7"/>
      <c r="K314" s="7"/>
      <c r="L314" s="7"/>
    </row>
    <row r="315" spans="1:12" ht="13" customHeight="1" x14ac:dyDescent="0.15">
      <c r="A315" s="48"/>
      <c r="B315" s="7"/>
      <c r="C315" s="5"/>
      <c r="D315" s="5"/>
      <c r="E315" s="5"/>
      <c r="F315" s="5"/>
      <c r="G315" s="7"/>
      <c r="H315" s="7"/>
      <c r="I315" s="7"/>
      <c r="J315" s="7"/>
      <c r="K315" s="7"/>
      <c r="L315" s="7"/>
    </row>
    <row r="316" spans="1:12" ht="13" customHeight="1" x14ac:dyDescent="0.15">
      <c r="A316" s="48"/>
      <c r="B316" s="7"/>
      <c r="C316" s="5"/>
      <c r="D316" s="5"/>
      <c r="E316" s="5"/>
      <c r="F316" s="5"/>
      <c r="G316" s="7"/>
      <c r="H316" s="7"/>
      <c r="I316" s="7"/>
      <c r="J316" s="7"/>
      <c r="K316" s="7"/>
      <c r="L316" s="7"/>
    </row>
    <row r="317" spans="1:12" ht="13" customHeight="1" x14ac:dyDescent="0.15">
      <c r="A317" s="48"/>
      <c r="B317" s="7"/>
      <c r="C317" s="5"/>
      <c r="D317" s="5"/>
      <c r="E317" s="5"/>
      <c r="F317" s="5"/>
      <c r="G317" s="7"/>
      <c r="H317" s="7"/>
      <c r="I317" s="7"/>
      <c r="J317" s="7"/>
      <c r="K317" s="7"/>
      <c r="L317" s="7"/>
    </row>
    <row r="318" spans="1:12" ht="13" customHeight="1" x14ac:dyDescent="0.15">
      <c r="A318" s="48"/>
      <c r="B318" s="7"/>
      <c r="C318" s="5"/>
      <c r="D318" s="5"/>
      <c r="E318" s="5"/>
      <c r="F318" s="5"/>
      <c r="G318" s="7"/>
      <c r="H318" s="7"/>
      <c r="I318" s="7"/>
      <c r="J318" s="7"/>
      <c r="K318" s="7"/>
      <c r="L318" s="7"/>
    </row>
    <row r="319" spans="1:12" ht="13" customHeight="1" x14ac:dyDescent="0.15">
      <c r="A319" s="48"/>
      <c r="B319" s="7"/>
      <c r="C319" s="5"/>
      <c r="D319" s="5"/>
      <c r="E319" s="5"/>
      <c r="F319" s="5"/>
      <c r="G319" s="7"/>
      <c r="H319" s="7"/>
      <c r="I319" s="7"/>
      <c r="J319" s="7"/>
      <c r="K319" s="7"/>
      <c r="L319" s="7"/>
    </row>
    <row r="320" spans="1:12" ht="13" customHeight="1" x14ac:dyDescent="0.15">
      <c r="A320" s="48"/>
      <c r="B320" s="7"/>
      <c r="C320" s="5"/>
      <c r="D320" s="5"/>
      <c r="E320" s="5"/>
      <c r="F320" s="5"/>
      <c r="G320" s="7"/>
      <c r="H320" s="7"/>
      <c r="I320" s="7"/>
      <c r="J320" s="7"/>
      <c r="K320" s="7"/>
      <c r="L320" s="7"/>
    </row>
    <row r="321" spans="1:12" ht="13" customHeight="1" x14ac:dyDescent="0.15">
      <c r="A321" s="48"/>
      <c r="B321" s="7"/>
      <c r="C321" s="5"/>
      <c r="D321" s="5"/>
      <c r="E321" s="5"/>
      <c r="F321" s="5"/>
      <c r="G321" s="7"/>
      <c r="H321" s="7"/>
      <c r="I321" s="7"/>
      <c r="J321" s="7"/>
      <c r="K321" s="7"/>
      <c r="L321" s="7"/>
    </row>
    <row r="322" spans="1:12" ht="13" customHeight="1" x14ac:dyDescent="0.15">
      <c r="A322" s="48"/>
      <c r="B322" s="7"/>
      <c r="C322" s="5"/>
      <c r="D322" s="5"/>
      <c r="E322" s="5"/>
      <c r="F322" s="5"/>
      <c r="G322" s="7"/>
      <c r="H322" s="7"/>
      <c r="I322" s="7"/>
      <c r="J322" s="7"/>
      <c r="K322" s="7"/>
      <c r="L322" s="7"/>
    </row>
    <row r="323" spans="1:12" ht="13" customHeight="1" x14ac:dyDescent="0.15">
      <c r="A323" s="48"/>
      <c r="B323" s="7"/>
      <c r="C323" s="5"/>
      <c r="D323" s="5"/>
      <c r="E323" s="5"/>
      <c r="F323" s="5"/>
      <c r="G323" s="7"/>
      <c r="H323" s="7"/>
      <c r="I323" s="7"/>
      <c r="J323" s="7"/>
      <c r="K323" s="7"/>
      <c r="L323" s="7"/>
    </row>
    <row r="324" spans="1:12" ht="13" customHeight="1" x14ac:dyDescent="0.15">
      <c r="A324" s="48"/>
      <c r="B324" s="7"/>
      <c r="C324" s="5"/>
      <c r="D324" s="5"/>
      <c r="E324" s="5"/>
      <c r="F324" s="5"/>
      <c r="G324" s="7"/>
      <c r="H324" s="7"/>
      <c r="I324" s="7"/>
      <c r="J324" s="7"/>
      <c r="K324" s="7"/>
      <c r="L324" s="7"/>
    </row>
    <row r="325" spans="1:12" ht="13" customHeight="1" x14ac:dyDescent="0.15">
      <c r="A325" s="48"/>
      <c r="B325" s="7"/>
      <c r="C325" s="5"/>
      <c r="D325" s="5"/>
      <c r="E325" s="5"/>
      <c r="F325" s="5"/>
      <c r="G325" s="7"/>
      <c r="H325" s="7"/>
      <c r="I325" s="7"/>
      <c r="J325" s="7"/>
      <c r="K325" s="7"/>
      <c r="L325" s="7"/>
    </row>
    <row r="326" spans="1:12" ht="13" customHeight="1" x14ac:dyDescent="0.15">
      <c r="A326" s="48"/>
      <c r="B326" s="7"/>
      <c r="C326" s="5"/>
      <c r="D326" s="5"/>
      <c r="E326" s="5"/>
      <c r="F326" s="5"/>
      <c r="G326" s="7"/>
      <c r="H326" s="7"/>
      <c r="I326" s="7"/>
      <c r="J326" s="7"/>
      <c r="K326" s="7"/>
      <c r="L326" s="7"/>
    </row>
    <row r="327" spans="1:12" ht="13" customHeight="1" x14ac:dyDescent="0.15">
      <c r="A327" s="48"/>
      <c r="B327" s="7"/>
      <c r="C327" s="5"/>
      <c r="D327" s="5"/>
      <c r="E327" s="5"/>
      <c r="F327" s="5"/>
      <c r="G327" s="7"/>
      <c r="H327" s="7"/>
      <c r="I327" s="7"/>
      <c r="J327" s="7"/>
      <c r="K327" s="7"/>
      <c r="L327" s="7"/>
    </row>
    <row r="328" spans="1:12" ht="13" customHeight="1" x14ac:dyDescent="0.15">
      <c r="A328" s="48"/>
      <c r="B328" s="7"/>
      <c r="C328" s="5"/>
      <c r="D328" s="5"/>
      <c r="E328" s="5"/>
      <c r="F328" s="5"/>
      <c r="G328" s="7"/>
      <c r="H328" s="7"/>
      <c r="I328" s="7"/>
      <c r="J328" s="7"/>
      <c r="K328" s="7"/>
      <c r="L328" s="7"/>
    </row>
    <row r="329" spans="1:12" ht="13" customHeight="1" x14ac:dyDescent="0.15">
      <c r="A329" s="48"/>
      <c r="B329" s="7"/>
      <c r="C329" s="5"/>
      <c r="D329" s="5"/>
      <c r="E329" s="5"/>
      <c r="F329" s="5"/>
      <c r="G329" s="7"/>
      <c r="H329" s="7"/>
      <c r="I329" s="7"/>
      <c r="J329" s="7"/>
      <c r="K329" s="7"/>
      <c r="L329" s="7"/>
    </row>
    <row r="330" spans="1:12" ht="13" customHeight="1" x14ac:dyDescent="0.15">
      <c r="A330" s="48"/>
      <c r="B330" s="7"/>
      <c r="C330" s="5"/>
      <c r="D330" s="5"/>
      <c r="E330" s="5"/>
      <c r="F330" s="5"/>
      <c r="G330" s="7"/>
      <c r="H330" s="7"/>
      <c r="I330" s="7"/>
      <c r="J330" s="7"/>
      <c r="K330" s="7"/>
      <c r="L330" s="7"/>
    </row>
    <row r="331" spans="1:12" ht="13" customHeight="1" x14ac:dyDescent="0.15">
      <c r="A331" s="48"/>
      <c r="B331" s="7"/>
      <c r="C331" s="5"/>
      <c r="D331" s="5"/>
      <c r="E331" s="5"/>
      <c r="F331" s="5"/>
      <c r="G331" s="7"/>
      <c r="H331" s="7"/>
      <c r="I331" s="7"/>
      <c r="J331" s="7"/>
      <c r="K331" s="7"/>
      <c r="L331" s="7"/>
    </row>
    <row r="332" spans="1:12" ht="13" customHeight="1" x14ac:dyDescent="0.15">
      <c r="A332" s="48"/>
      <c r="B332" s="7"/>
      <c r="C332" s="5"/>
      <c r="D332" s="5"/>
      <c r="E332" s="5"/>
      <c r="F332" s="5"/>
      <c r="G332" s="7"/>
      <c r="H332" s="7"/>
      <c r="I332" s="7"/>
      <c r="J332" s="7"/>
      <c r="K332" s="7"/>
      <c r="L332" s="7"/>
    </row>
    <row r="333" spans="1:12" ht="13" customHeight="1" x14ac:dyDescent="0.15">
      <c r="A333" s="48"/>
      <c r="B333" s="7"/>
      <c r="C333" s="5"/>
      <c r="D333" s="5"/>
      <c r="E333" s="5"/>
      <c r="F333" s="5"/>
      <c r="G333" s="7"/>
      <c r="H333" s="7"/>
      <c r="I333" s="7"/>
      <c r="J333" s="7"/>
      <c r="K333" s="7"/>
      <c r="L333" s="7"/>
    </row>
    <row r="334" spans="1:12" ht="13" customHeight="1" x14ac:dyDescent="0.15">
      <c r="A334" s="48"/>
      <c r="B334" s="7"/>
      <c r="C334" s="5"/>
      <c r="D334" s="5"/>
      <c r="E334" s="5"/>
      <c r="F334" s="5"/>
      <c r="G334" s="7"/>
      <c r="H334" s="7"/>
      <c r="I334" s="7"/>
      <c r="J334" s="7"/>
      <c r="K334" s="7"/>
      <c r="L334" s="7"/>
    </row>
    <row r="335" spans="1:12" ht="13" customHeight="1" x14ac:dyDescent="0.15">
      <c r="A335" s="48"/>
      <c r="B335" s="7"/>
      <c r="C335" s="5"/>
      <c r="D335" s="5"/>
      <c r="E335" s="5"/>
      <c r="F335" s="5"/>
      <c r="G335" s="7"/>
      <c r="H335" s="7"/>
      <c r="I335" s="7"/>
      <c r="J335" s="7"/>
      <c r="K335" s="7"/>
      <c r="L335" s="7"/>
    </row>
    <row r="336" spans="1:12" ht="13" customHeight="1" x14ac:dyDescent="0.15">
      <c r="A336" s="48"/>
      <c r="B336" s="7"/>
      <c r="C336" s="5"/>
      <c r="D336" s="5"/>
      <c r="E336" s="5"/>
      <c r="F336" s="5"/>
      <c r="G336" s="7"/>
      <c r="H336" s="7"/>
      <c r="I336" s="7"/>
      <c r="J336" s="7"/>
      <c r="K336" s="7"/>
      <c r="L336" s="7"/>
    </row>
    <row r="337" spans="1:12" ht="13" customHeight="1" x14ac:dyDescent="0.15">
      <c r="A337" s="48"/>
      <c r="B337" s="7"/>
      <c r="C337" s="5"/>
      <c r="D337" s="5"/>
      <c r="E337" s="5"/>
      <c r="F337" s="5"/>
      <c r="G337" s="7"/>
      <c r="H337" s="7"/>
      <c r="I337" s="7"/>
      <c r="J337" s="7"/>
      <c r="K337" s="7"/>
      <c r="L337" s="7"/>
    </row>
    <row r="338" spans="1:12" ht="13" customHeight="1" x14ac:dyDescent="0.15">
      <c r="A338" s="48"/>
      <c r="B338" s="7"/>
      <c r="C338" s="5"/>
      <c r="D338" s="5"/>
      <c r="E338" s="5"/>
      <c r="F338" s="5"/>
      <c r="G338" s="7"/>
      <c r="H338" s="7"/>
      <c r="I338" s="7"/>
      <c r="J338" s="7"/>
      <c r="K338" s="7"/>
      <c r="L338" s="7"/>
    </row>
    <row r="339" spans="1:12" ht="13" customHeight="1" x14ac:dyDescent="0.15">
      <c r="A339" s="48"/>
      <c r="B339" s="7"/>
      <c r="C339" s="5"/>
      <c r="D339" s="5"/>
      <c r="E339" s="5"/>
      <c r="F339" s="5"/>
      <c r="G339" s="7"/>
      <c r="H339" s="7"/>
      <c r="I339" s="7"/>
      <c r="J339" s="7"/>
      <c r="K339" s="7"/>
      <c r="L339" s="7"/>
    </row>
    <row r="340" spans="1:12" ht="13" customHeight="1" x14ac:dyDescent="0.15">
      <c r="A340" s="48"/>
      <c r="B340" s="7"/>
      <c r="C340" s="5"/>
      <c r="D340" s="5"/>
      <c r="E340" s="5"/>
      <c r="F340" s="5"/>
      <c r="G340" s="7"/>
      <c r="H340" s="7"/>
      <c r="I340" s="7"/>
      <c r="J340" s="7"/>
      <c r="K340" s="7"/>
      <c r="L340" s="7"/>
    </row>
    <row r="341" spans="1:12" ht="13" customHeight="1" x14ac:dyDescent="0.15">
      <c r="A341" s="48"/>
      <c r="B341" s="7"/>
      <c r="C341" s="5"/>
      <c r="D341" s="5"/>
      <c r="E341" s="5"/>
      <c r="F341" s="5"/>
      <c r="G341" s="7"/>
      <c r="H341" s="7"/>
      <c r="I341" s="7"/>
      <c r="J341" s="7"/>
      <c r="K341" s="7"/>
      <c r="L341" s="7"/>
    </row>
    <row r="342" spans="1:12" ht="13" customHeight="1" x14ac:dyDescent="0.15">
      <c r="A342" s="48"/>
      <c r="B342" s="7"/>
      <c r="C342" s="5"/>
      <c r="D342" s="5"/>
      <c r="E342" s="5"/>
      <c r="F342" s="5"/>
      <c r="G342" s="7"/>
      <c r="H342" s="7"/>
      <c r="I342" s="7"/>
      <c r="J342" s="7"/>
      <c r="K342" s="7"/>
      <c r="L342" s="7"/>
    </row>
    <row r="343" spans="1:12" ht="13" customHeight="1" x14ac:dyDescent="0.15">
      <c r="A343" s="48"/>
      <c r="B343" s="7"/>
      <c r="C343" s="5"/>
      <c r="D343" s="5"/>
      <c r="E343" s="5"/>
      <c r="F343" s="5"/>
      <c r="G343" s="7"/>
      <c r="H343" s="7"/>
      <c r="I343" s="7"/>
      <c r="J343" s="7"/>
      <c r="K343" s="7"/>
      <c r="L343" s="7"/>
    </row>
    <row r="344" spans="1:12" ht="13" customHeight="1" x14ac:dyDescent="0.15">
      <c r="A344" s="48"/>
      <c r="B344" s="7"/>
      <c r="C344" s="5"/>
      <c r="D344" s="5"/>
      <c r="E344" s="5"/>
      <c r="F344" s="5"/>
      <c r="G344" s="7"/>
      <c r="H344" s="7"/>
      <c r="I344" s="7"/>
      <c r="J344" s="7"/>
      <c r="K344" s="7"/>
      <c r="L344" s="7"/>
    </row>
    <row r="345" spans="1:12" ht="13" customHeight="1" x14ac:dyDescent="0.15">
      <c r="A345" s="48"/>
      <c r="B345" s="7"/>
      <c r="C345" s="5"/>
      <c r="D345" s="5"/>
      <c r="E345" s="5"/>
      <c r="F345" s="5"/>
      <c r="G345" s="7"/>
      <c r="H345" s="7"/>
      <c r="I345" s="7"/>
      <c r="J345" s="7"/>
      <c r="K345" s="7"/>
      <c r="L345" s="7"/>
    </row>
    <row r="346" spans="1:12" ht="13" customHeight="1" x14ac:dyDescent="0.15">
      <c r="A346" s="48"/>
      <c r="B346" s="7"/>
      <c r="C346" s="5"/>
      <c r="D346" s="5"/>
      <c r="E346" s="5"/>
      <c r="F346" s="5"/>
      <c r="G346" s="7"/>
      <c r="H346" s="7"/>
      <c r="I346" s="7"/>
      <c r="J346" s="7"/>
      <c r="K346" s="7"/>
      <c r="L346" s="7"/>
    </row>
    <row r="347" spans="1:12" ht="13" customHeight="1" x14ac:dyDescent="0.15">
      <c r="A347" s="48"/>
      <c r="B347" s="7"/>
      <c r="C347" s="5"/>
      <c r="D347" s="5"/>
      <c r="E347" s="5"/>
      <c r="F347" s="5"/>
      <c r="G347" s="7"/>
      <c r="H347" s="7"/>
      <c r="I347" s="7"/>
      <c r="J347" s="7"/>
      <c r="K347" s="7"/>
      <c r="L347" s="7"/>
    </row>
    <row r="348" spans="1:12" ht="13" customHeight="1" x14ac:dyDescent="0.15">
      <c r="A348" s="48"/>
      <c r="B348" s="7"/>
      <c r="C348" s="5"/>
      <c r="D348" s="5"/>
      <c r="E348" s="5"/>
      <c r="F348" s="5"/>
      <c r="G348" s="7"/>
      <c r="H348" s="7"/>
      <c r="I348" s="7"/>
      <c r="J348" s="7"/>
      <c r="K348" s="7"/>
      <c r="L348" s="7"/>
    </row>
    <row r="349" spans="1:12" ht="13" customHeight="1" x14ac:dyDescent="0.15">
      <c r="A349" s="48"/>
      <c r="B349" s="7"/>
      <c r="C349" s="5"/>
      <c r="D349" s="5"/>
      <c r="E349" s="5"/>
      <c r="F349" s="5"/>
      <c r="G349" s="7"/>
      <c r="H349" s="7"/>
      <c r="I349" s="7"/>
      <c r="J349" s="7"/>
      <c r="K349" s="7"/>
      <c r="L349" s="7"/>
    </row>
    <row r="350" spans="1:12" ht="13" customHeight="1" x14ac:dyDescent="0.15">
      <c r="A350" s="48"/>
      <c r="B350" s="7"/>
      <c r="C350" s="5"/>
      <c r="D350" s="5"/>
      <c r="E350" s="5"/>
      <c r="F350" s="5"/>
      <c r="G350" s="7"/>
      <c r="H350" s="7"/>
      <c r="I350" s="7"/>
      <c r="J350" s="7"/>
      <c r="K350" s="7"/>
      <c r="L350" s="7"/>
    </row>
    <row r="351" spans="1:12" ht="13" customHeight="1" x14ac:dyDescent="0.15">
      <c r="A351" s="48"/>
      <c r="B351" s="7"/>
      <c r="C351" s="5"/>
      <c r="D351" s="5"/>
      <c r="E351" s="5"/>
      <c r="F351" s="5"/>
      <c r="G351" s="7"/>
      <c r="H351" s="7"/>
      <c r="I351" s="7"/>
      <c r="J351" s="7"/>
      <c r="K351" s="7"/>
      <c r="L351" s="7"/>
    </row>
    <row r="352" spans="1:12" ht="13" customHeight="1" x14ac:dyDescent="0.15">
      <c r="A352" s="48"/>
      <c r="B352" s="7"/>
      <c r="C352" s="5"/>
      <c r="D352" s="5"/>
      <c r="E352" s="5"/>
      <c r="F352" s="5"/>
      <c r="G352" s="7"/>
      <c r="H352" s="7"/>
      <c r="I352" s="7"/>
      <c r="J352" s="7"/>
      <c r="K352" s="7"/>
      <c r="L352" s="7"/>
    </row>
    <row r="353" spans="1:12" ht="13" customHeight="1" x14ac:dyDescent="0.15">
      <c r="A353" s="48"/>
      <c r="B353" s="7"/>
      <c r="C353" s="5"/>
      <c r="D353" s="5"/>
      <c r="E353" s="5"/>
      <c r="F353" s="5"/>
      <c r="G353" s="7"/>
      <c r="H353" s="7"/>
      <c r="I353" s="7"/>
      <c r="J353" s="7"/>
      <c r="K353" s="7"/>
      <c r="L353" s="7"/>
    </row>
    <row r="354" spans="1:12" ht="13" customHeight="1" x14ac:dyDescent="0.15">
      <c r="A354" s="48"/>
      <c r="B354" s="7"/>
      <c r="C354" s="5"/>
      <c r="D354" s="5"/>
      <c r="E354" s="5"/>
      <c r="F354" s="5"/>
      <c r="G354" s="7"/>
      <c r="H354" s="7"/>
      <c r="I354" s="7"/>
      <c r="J354" s="7"/>
      <c r="K354" s="7"/>
      <c r="L354" s="7"/>
    </row>
    <row r="355" spans="1:12" ht="13" customHeight="1" x14ac:dyDescent="0.15">
      <c r="A355" s="48"/>
      <c r="B355" s="7"/>
      <c r="C355" s="5"/>
      <c r="D355" s="5"/>
      <c r="E355" s="5"/>
      <c r="F355" s="5"/>
      <c r="G355" s="7"/>
      <c r="H355" s="7"/>
      <c r="I355" s="7"/>
      <c r="J355" s="7"/>
      <c r="K355" s="7"/>
      <c r="L355" s="7"/>
    </row>
    <row r="356" spans="1:12" ht="13" customHeight="1" x14ac:dyDescent="0.15">
      <c r="A356" s="48"/>
      <c r="B356" s="7"/>
      <c r="C356" s="5"/>
      <c r="D356" s="5"/>
      <c r="E356" s="5"/>
      <c r="F356" s="5"/>
      <c r="G356" s="7"/>
      <c r="H356" s="7"/>
      <c r="I356" s="7"/>
      <c r="J356" s="7"/>
      <c r="K356" s="7"/>
      <c r="L356" s="7"/>
    </row>
    <row r="357" spans="1:12" ht="13" customHeight="1" x14ac:dyDescent="0.15">
      <c r="A357" s="48"/>
      <c r="B357" s="7"/>
      <c r="C357" s="5"/>
      <c r="D357" s="5"/>
      <c r="E357" s="5"/>
      <c r="F357" s="5"/>
      <c r="G357" s="7"/>
      <c r="H357" s="7"/>
      <c r="I357" s="7"/>
      <c r="J357" s="7"/>
      <c r="K357" s="7"/>
      <c r="L357" s="7"/>
    </row>
    <row r="358" spans="1:12" ht="13" customHeight="1" x14ac:dyDescent="0.15">
      <c r="A358" s="48"/>
      <c r="B358" s="7"/>
      <c r="C358" s="5"/>
      <c r="D358" s="5"/>
      <c r="E358" s="5"/>
      <c r="F358" s="5"/>
      <c r="G358" s="7"/>
      <c r="H358" s="7"/>
      <c r="I358" s="7"/>
      <c r="J358" s="7"/>
      <c r="K358" s="7"/>
      <c r="L358" s="7"/>
    </row>
    <row r="359" spans="1:12" ht="13" customHeight="1" x14ac:dyDescent="0.15">
      <c r="A359" s="48"/>
      <c r="B359" s="7"/>
      <c r="C359" s="5"/>
      <c r="D359" s="5"/>
      <c r="E359" s="5"/>
      <c r="F359" s="5"/>
      <c r="G359" s="7"/>
      <c r="H359" s="7"/>
      <c r="I359" s="7"/>
      <c r="J359" s="7"/>
      <c r="K359" s="7"/>
      <c r="L359" s="7"/>
    </row>
    <row r="360" spans="1:12" ht="13" customHeight="1" x14ac:dyDescent="0.15">
      <c r="A360" s="48"/>
      <c r="B360" s="7"/>
      <c r="C360" s="5"/>
      <c r="D360" s="5"/>
      <c r="E360" s="5"/>
      <c r="F360" s="5"/>
      <c r="G360" s="7"/>
      <c r="H360" s="7"/>
      <c r="I360" s="7"/>
      <c r="J360" s="7"/>
      <c r="K360" s="7"/>
      <c r="L360" s="7"/>
    </row>
    <row r="361" spans="1:12" ht="13" customHeight="1" x14ac:dyDescent="0.15">
      <c r="A361" s="48"/>
      <c r="B361" s="7"/>
      <c r="C361" s="5"/>
      <c r="D361" s="5"/>
      <c r="E361" s="5"/>
      <c r="F361" s="5"/>
      <c r="G361" s="7"/>
      <c r="H361" s="7"/>
      <c r="I361" s="7"/>
      <c r="J361" s="7"/>
      <c r="K361" s="7"/>
      <c r="L361" s="7"/>
    </row>
    <row r="362" spans="1:12" ht="13" customHeight="1" x14ac:dyDescent="0.15">
      <c r="A362" s="48"/>
      <c r="B362" s="7"/>
      <c r="C362" s="5"/>
      <c r="D362" s="5"/>
      <c r="E362" s="5"/>
      <c r="F362" s="5"/>
      <c r="G362" s="7"/>
      <c r="H362" s="7"/>
      <c r="I362" s="7"/>
      <c r="J362" s="7"/>
      <c r="K362" s="7"/>
      <c r="L362" s="7"/>
    </row>
    <row r="363" spans="1:12" ht="13" customHeight="1" x14ac:dyDescent="0.15">
      <c r="A363" s="48"/>
      <c r="B363" s="7"/>
      <c r="C363" s="5"/>
      <c r="D363" s="5"/>
      <c r="E363" s="5"/>
      <c r="F363" s="5"/>
      <c r="G363" s="7"/>
      <c r="H363" s="7"/>
      <c r="I363" s="7"/>
      <c r="J363" s="7"/>
      <c r="K363" s="7"/>
      <c r="L363" s="7"/>
    </row>
    <row r="364" spans="1:12" ht="13" customHeight="1" x14ac:dyDescent="0.15">
      <c r="A364" s="48"/>
      <c r="B364" s="7"/>
      <c r="C364" s="5"/>
      <c r="D364" s="5"/>
      <c r="E364" s="5"/>
      <c r="F364" s="5"/>
      <c r="G364" s="7"/>
      <c r="H364" s="7"/>
      <c r="I364" s="7"/>
      <c r="J364" s="7"/>
      <c r="K364" s="7"/>
      <c r="L364" s="7"/>
    </row>
    <row r="365" spans="1:12" ht="13" customHeight="1" x14ac:dyDescent="0.15">
      <c r="A365" s="48"/>
      <c r="B365" s="7"/>
      <c r="C365" s="5"/>
      <c r="D365" s="5"/>
      <c r="E365" s="5"/>
      <c r="F365" s="5"/>
      <c r="G365" s="7"/>
      <c r="H365" s="7"/>
      <c r="I365" s="7"/>
      <c r="J365" s="7"/>
      <c r="K365" s="7"/>
      <c r="L365" s="7"/>
    </row>
    <row r="366" spans="1:12" ht="13" customHeight="1" x14ac:dyDescent="0.15">
      <c r="A366" s="48"/>
      <c r="B366" s="7"/>
      <c r="C366" s="5"/>
      <c r="D366" s="5"/>
      <c r="E366" s="5"/>
      <c r="F366" s="5"/>
      <c r="G366" s="7"/>
      <c r="H366" s="7"/>
      <c r="I366" s="7"/>
      <c r="J366" s="7"/>
      <c r="K366" s="7"/>
      <c r="L366" s="7"/>
    </row>
    <row r="367" spans="1:12" ht="13" customHeight="1" x14ac:dyDescent="0.15">
      <c r="A367" s="48"/>
      <c r="B367" s="7"/>
      <c r="C367" s="5"/>
      <c r="D367" s="5"/>
      <c r="E367" s="5"/>
      <c r="F367" s="5"/>
      <c r="G367" s="7"/>
      <c r="H367" s="7"/>
      <c r="I367" s="7"/>
      <c r="J367" s="7"/>
      <c r="K367" s="7"/>
      <c r="L367" s="7"/>
    </row>
    <row r="368" spans="1:12" ht="13" customHeight="1" x14ac:dyDescent="0.15">
      <c r="A368" s="48"/>
      <c r="B368" s="7"/>
      <c r="C368" s="5"/>
      <c r="D368" s="5"/>
      <c r="E368" s="5"/>
      <c r="F368" s="5"/>
      <c r="G368" s="7"/>
      <c r="H368" s="7"/>
      <c r="I368" s="7"/>
      <c r="J368" s="7"/>
      <c r="K368" s="7"/>
      <c r="L368" s="7"/>
    </row>
    <row r="369" spans="1:12" ht="13" customHeight="1" x14ac:dyDescent="0.15">
      <c r="A369" s="48"/>
      <c r="B369" s="7"/>
      <c r="C369" s="5"/>
      <c r="D369" s="5"/>
      <c r="E369" s="5"/>
      <c r="F369" s="5"/>
      <c r="G369" s="7"/>
      <c r="H369" s="7"/>
      <c r="I369" s="7"/>
      <c r="J369" s="7"/>
      <c r="K369" s="7"/>
      <c r="L369" s="7"/>
    </row>
    <row r="370" spans="1:12" ht="13" customHeight="1" x14ac:dyDescent="0.15">
      <c r="A370" s="48"/>
      <c r="B370" s="7"/>
      <c r="C370" s="5"/>
      <c r="D370" s="5"/>
      <c r="E370" s="5"/>
      <c r="F370" s="5"/>
      <c r="G370" s="7"/>
      <c r="H370" s="7"/>
      <c r="I370" s="7"/>
      <c r="J370" s="7"/>
      <c r="K370" s="7"/>
      <c r="L370" s="7"/>
    </row>
    <row r="371" spans="1:12" ht="13" customHeight="1" x14ac:dyDescent="0.15">
      <c r="A371" s="48"/>
      <c r="B371" s="7"/>
      <c r="C371" s="5"/>
      <c r="D371" s="5"/>
      <c r="E371" s="5"/>
      <c r="F371" s="5"/>
      <c r="G371" s="7"/>
      <c r="H371" s="7"/>
      <c r="I371" s="7"/>
      <c r="J371" s="7"/>
      <c r="K371" s="7"/>
      <c r="L371" s="7"/>
    </row>
    <row r="372" spans="1:12" ht="13" customHeight="1" x14ac:dyDescent="0.15">
      <c r="A372" s="48"/>
      <c r="B372" s="7"/>
      <c r="C372" s="5"/>
      <c r="D372" s="5"/>
      <c r="E372" s="5"/>
      <c r="F372" s="5"/>
      <c r="G372" s="7"/>
      <c r="H372" s="7"/>
      <c r="I372" s="7"/>
      <c r="J372" s="7"/>
      <c r="K372" s="7"/>
      <c r="L372" s="7"/>
    </row>
    <row r="373" spans="1:12" ht="13" customHeight="1" x14ac:dyDescent="0.15">
      <c r="A373" s="48"/>
      <c r="B373" s="7"/>
      <c r="C373" s="5"/>
      <c r="D373" s="5"/>
      <c r="E373" s="5"/>
      <c r="F373" s="5"/>
      <c r="G373" s="7"/>
      <c r="H373" s="7"/>
      <c r="I373" s="7"/>
      <c r="J373" s="7"/>
      <c r="K373" s="7"/>
      <c r="L373" s="7"/>
    </row>
    <row r="374" spans="1:12" ht="13" customHeight="1" x14ac:dyDescent="0.15">
      <c r="A374" s="48"/>
      <c r="B374" s="7"/>
      <c r="C374" s="5"/>
      <c r="D374" s="5"/>
      <c r="E374" s="5"/>
      <c r="F374" s="5"/>
      <c r="G374" s="7"/>
      <c r="H374" s="7"/>
      <c r="I374" s="7"/>
      <c r="J374" s="7"/>
      <c r="K374" s="7"/>
      <c r="L374" s="7"/>
    </row>
    <row r="375" spans="1:12" ht="13" customHeight="1" x14ac:dyDescent="0.15">
      <c r="A375" s="48"/>
      <c r="B375" s="7"/>
      <c r="C375" s="5"/>
      <c r="D375" s="5"/>
      <c r="E375" s="5"/>
      <c r="F375" s="5"/>
      <c r="G375" s="7"/>
      <c r="H375" s="7"/>
      <c r="I375" s="7"/>
      <c r="J375" s="7"/>
      <c r="K375" s="7"/>
      <c r="L375" s="7"/>
    </row>
    <row r="376" spans="1:12" ht="13" customHeight="1" x14ac:dyDescent="0.15">
      <c r="A376" s="48"/>
      <c r="B376" s="7"/>
      <c r="C376" s="5"/>
      <c r="D376" s="5"/>
      <c r="E376" s="5"/>
      <c r="F376" s="5"/>
      <c r="G376" s="7"/>
      <c r="H376" s="7"/>
      <c r="I376" s="7"/>
      <c r="J376" s="7"/>
      <c r="K376" s="7"/>
      <c r="L376" s="7"/>
    </row>
    <row r="377" spans="1:12" ht="13" customHeight="1" x14ac:dyDescent="0.15">
      <c r="A377" s="48"/>
      <c r="B377" s="7"/>
      <c r="C377" s="5"/>
      <c r="D377" s="5"/>
      <c r="E377" s="5"/>
      <c r="F377" s="5"/>
      <c r="G377" s="7"/>
      <c r="H377" s="7"/>
      <c r="I377" s="7"/>
      <c r="J377" s="7"/>
      <c r="K377" s="7"/>
      <c r="L377" s="7"/>
    </row>
    <row r="378" spans="1:12" ht="13" customHeight="1" x14ac:dyDescent="0.15">
      <c r="A378" s="48"/>
      <c r="B378" s="7"/>
      <c r="C378" s="5"/>
      <c r="D378" s="5"/>
      <c r="E378" s="5"/>
      <c r="F378" s="5"/>
      <c r="G378" s="7"/>
      <c r="H378" s="7"/>
      <c r="I378" s="7"/>
      <c r="J378" s="7"/>
      <c r="K378" s="7"/>
      <c r="L378" s="7"/>
    </row>
    <row r="379" spans="1:12" ht="13" customHeight="1" x14ac:dyDescent="0.15">
      <c r="A379" s="48"/>
      <c r="B379" s="7"/>
      <c r="C379" s="5"/>
      <c r="D379" s="5"/>
      <c r="E379" s="5"/>
      <c r="F379" s="5"/>
      <c r="G379" s="7"/>
      <c r="H379" s="7"/>
      <c r="I379" s="7"/>
      <c r="J379" s="7"/>
      <c r="K379" s="7"/>
      <c r="L379" s="7"/>
    </row>
    <row r="380" spans="1:12" ht="13" customHeight="1" x14ac:dyDescent="0.15">
      <c r="A380" s="48"/>
      <c r="B380" s="7"/>
      <c r="C380" s="5"/>
      <c r="D380" s="5"/>
      <c r="E380" s="5"/>
      <c r="F380" s="5"/>
      <c r="G380" s="7"/>
      <c r="H380" s="7"/>
      <c r="I380" s="7"/>
      <c r="J380" s="7"/>
      <c r="K380" s="7"/>
      <c r="L380" s="7"/>
    </row>
    <row r="381" spans="1:12" ht="13" customHeight="1" x14ac:dyDescent="0.15">
      <c r="A381" s="48"/>
      <c r="B381" s="7"/>
      <c r="C381" s="5"/>
      <c r="D381" s="5"/>
      <c r="E381" s="5"/>
      <c r="F381" s="5"/>
      <c r="G381" s="7"/>
      <c r="H381" s="7"/>
      <c r="I381" s="7"/>
      <c r="J381" s="7"/>
      <c r="K381" s="7"/>
      <c r="L381" s="7"/>
    </row>
    <row r="382" spans="1:12" ht="13" customHeight="1" x14ac:dyDescent="0.15">
      <c r="A382" s="48"/>
      <c r="B382" s="7"/>
      <c r="C382" s="5"/>
      <c r="D382" s="5"/>
      <c r="E382" s="5"/>
      <c r="F382" s="5"/>
      <c r="G382" s="7"/>
      <c r="H382" s="7"/>
      <c r="I382" s="7"/>
      <c r="J382" s="7"/>
      <c r="K382" s="7"/>
      <c r="L382" s="7"/>
    </row>
    <row r="383" spans="1:12" ht="13" customHeight="1" x14ac:dyDescent="0.15">
      <c r="A383" s="48"/>
      <c r="B383" s="7"/>
      <c r="C383" s="5"/>
      <c r="D383" s="5"/>
      <c r="E383" s="5"/>
      <c r="F383" s="5"/>
      <c r="G383" s="7"/>
      <c r="H383" s="7"/>
      <c r="I383" s="7"/>
      <c r="J383" s="7"/>
      <c r="K383" s="7"/>
      <c r="L383" s="7"/>
    </row>
    <row r="384" spans="1:12" ht="13" customHeight="1" x14ac:dyDescent="0.15">
      <c r="A384" s="48"/>
      <c r="B384" s="7"/>
      <c r="C384" s="5"/>
      <c r="D384" s="5"/>
      <c r="E384" s="5"/>
      <c r="F384" s="5"/>
      <c r="G384" s="7"/>
      <c r="H384" s="7"/>
      <c r="I384" s="7"/>
      <c r="J384" s="7"/>
      <c r="K384" s="7"/>
      <c r="L384" s="7"/>
    </row>
    <row r="385" spans="1:12" ht="13" customHeight="1" x14ac:dyDescent="0.15">
      <c r="A385" s="48"/>
      <c r="B385" s="7"/>
      <c r="C385" s="5"/>
      <c r="D385" s="5"/>
      <c r="E385" s="5"/>
      <c r="F385" s="5"/>
      <c r="G385" s="7"/>
      <c r="H385" s="7"/>
      <c r="I385" s="7"/>
      <c r="J385" s="7"/>
      <c r="K385" s="7"/>
      <c r="L385" s="7"/>
    </row>
    <row r="386" spans="1:12" ht="13" customHeight="1" x14ac:dyDescent="0.15">
      <c r="A386" s="48"/>
      <c r="B386" s="7"/>
      <c r="C386" s="5"/>
      <c r="D386" s="5"/>
      <c r="E386" s="5"/>
      <c r="F386" s="5"/>
      <c r="G386" s="7"/>
      <c r="H386" s="7"/>
      <c r="I386" s="7"/>
      <c r="J386" s="7"/>
      <c r="K386" s="7"/>
      <c r="L386" s="7"/>
    </row>
    <row r="387" spans="1:12" ht="13" customHeight="1" x14ac:dyDescent="0.15">
      <c r="A387" s="48"/>
      <c r="B387" s="7"/>
      <c r="C387" s="5"/>
      <c r="D387" s="5"/>
      <c r="E387" s="5"/>
      <c r="F387" s="5"/>
      <c r="G387" s="7"/>
      <c r="H387" s="7"/>
      <c r="I387" s="7"/>
      <c r="J387" s="7"/>
      <c r="K387" s="7"/>
      <c r="L387" s="7"/>
    </row>
    <row r="388" spans="1:12" ht="13" customHeight="1" x14ac:dyDescent="0.15">
      <c r="A388" s="48"/>
      <c r="B388" s="7"/>
      <c r="C388" s="5"/>
      <c r="D388" s="5"/>
      <c r="E388" s="5"/>
      <c r="F388" s="5"/>
      <c r="G388" s="7"/>
      <c r="H388" s="7"/>
      <c r="I388" s="7"/>
      <c r="J388" s="7"/>
      <c r="K388" s="7"/>
      <c r="L388" s="7"/>
    </row>
    <row r="389" spans="1:12" ht="13" customHeight="1" x14ac:dyDescent="0.15">
      <c r="A389" s="48"/>
      <c r="B389" s="7"/>
      <c r="C389" s="5"/>
      <c r="D389" s="5"/>
      <c r="E389" s="5"/>
      <c r="F389" s="5"/>
      <c r="G389" s="7"/>
      <c r="H389" s="7"/>
      <c r="I389" s="7"/>
      <c r="J389" s="7"/>
      <c r="K389" s="7"/>
      <c r="L389" s="7"/>
    </row>
    <row r="390" spans="1:12" ht="13" customHeight="1" x14ac:dyDescent="0.15">
      <c r="A390" s="48"/>
      <c r="B390" s="7"/>
      <c r="C390" s="5"/>
      <c r="D390" s="5"/>
      <c r="E390" s="5"/>
      <c r="F390" s="5"/>
      <c r="G390" s="7"/>
      <c r="H390" s="7"/>
      <c r="I390" s="7"/>
      <c r="J390" s="7"/>
      <c r="K390" s="7"/>
      <c r="L390" s="7"/>
    </row>
    <row r="391" spans="1:12" ht="13" customHeight="1" x14ac:dyDescent="0.15">
      <c r="A391" s="48"/>
      <c r="B391" s="7"/>
      <c r="C391" s="5"/>
      <c r="D391" s="5"/>
      <c r="E391" s="5"/>
      <c r="F391" s="5"/>
      <c r="G391" s="7"/>
      <c r="H391" s="7"/>
      <c r="I391" s="7"/>
      <c r="J391" s="7"/>
      <c r="K391" s="7"/>
      <c r="L391" s="7"/>
    </row>
    <row r="392" spans="1:12" ht="13" customHeight="1" x14ac:dyDescent="0.15">
      <c r="A392" s="48"/>
      <c r="B392" s="7"/>
      <c r="C392" s="5"/>
      <c r="D392" s="5"/>
      <c r="E392" s="5"/>
      <c r="F392" s="5"/>
      <c r="G392" s="7"/>
      <c r="H392" s="7"/>
      <c r="I392" s="7"/>
      <c r="J392" s="7"/>
      <c r="K392" s="7"/>
      <c r="L392" s="7"/>
    </row>
    <row r="393" spans="1:12" ht="13" customHeight="1" x14ac:dyDescent="0.15">
      <c r="A393" s="48"/>
      <c r="B393" s="7"/>
      <c r="C393" s="5"/>
      <c r="D393" s="5"/>
      <c r="E393" s="5"/>
      <c r="F393" s="5"/>
      <c r="G393" s="7"/>
      <c r="H393" s="7"/>
      <c r="I393" s="7"/>
      <c r="J393" s="7"/>
      <c r="K393" s="7"/>
      <c r="L393" s="7"/>
    </row>
    <row r="394" spans="1:12" ht="13" customHeight="1" x14ac:dyDescent="0.15">
      <c r="A394" s="48"/>
      <c r="B394" s="7"/>
      <c r="C394" s="5"/>
      <c r="D394" s="5"/>
      <c r="E394" s="5"/>
      <c r="F394" s="5"/>
      <c r="G394" s="7"/>
      <c r="H394" s="7"/>
      <c r="I394" s="7"/>
      <c r="J394" s="7"/>
      <c r="K394" s="7"/>
      <c r="L394" s="7"/>
    </row>
    <row r="395" spans="1:12" ht="13" customHeight="1" x14ac:dyDescent="0.15">
      <c r="A395" s="48"/>
      <c r="B395" s="7"/>
      <c r="C395" s="5"/>
      <c r="D395" s="5"/>
      <c r="E395" s="5"/>
      <c r="F395" s="5"/>
      <c r="G395" s="7"/>
      <c r="H395" s="7"/>
      <c r="I395" s="7"/>
      <c r="J395" s="7"/>
      <c r="K395" s="7"/>
      <c r="L395" s="7"/>
    </row>
    <row r="396" spans="1:12" ht="13" customHeight="1" x14ac:dyDescent="0.15">
      <c r="A396" s="48"/>
      <c r="B396" s="7"/>
      <c r="C396" s="5"/>
      <c r="D396" s="5"/>
      <c r="E396" s="5"/>
      <c r="F396" s="5"/>
      <c r="G396" s="7"/>
      <c r="H396" s="7"/>
      <c r="I396" s="7"/>
      <c r="J396" s="7"/>
      <c r="K396" s="7"/>
      <c r="L396" s="7"/>
    </row>
    <row r="397" spans="1:12" ht="13" customHeight="1" x14ac:dyDescent="0.15">
      <c r="A397" s="48"/>
      <c r="B397" s="7"/>
      <c r="C397" s="5"/>
      <c r="D397" s="5"/>
      <c r="E397" s="5"/>
      <c r="F397" s="5"/>
      <c r="G397" s="7"/>
      <c r="H397" s="7"/>
      <c r="I397" s="7"/>
      <c r="J397" s="7"/>
      <c r="K397" s="7"/>
      <c r="L397" s="7"/>
    </row>
    <row r="398" spans="1:12" ht="13" customHeight="1" x14ac:dyDescent="0.15">
      <c r="A398" s="48"/>
      <c r="B398" s="7"/>
      <c r="C398" s="5"/>
      <c r="D398" s="5"/>
      <c r="E398" s="5"/>
      <c r="F398" s="5"/>
      <c r="G398" s="7"/>
      <c r="H398" s="7"/>
      <c r="I398" s="7"/>
      <c r="J398" s="7"/>
      <c r="K398" s="7"/>
      <c r="L398" s="7"/>
    </row>
    <row r="399" spans="1:12" ht="13" customHeight="1" x14ac:dyDescent="0.15">
      <c r="A399" s="48"/>
      <c r="B399" s="7"/>
      <c r="C399" s="5"/>
      <c r="D399" s="5"/>
      <c r="E399" s="5"/>
      <c r="F399" s="5"/>
      <c r="G399" s="7"/>
      <c r="H399" s="7"/>
      <c r="I399" s="7"/>
      <c r="J399" s="7"/>
      <c r="K399" s="7"/>
      <c r="L399" s="7"/>
    </row>
    <row r="400" spans="1:12" ht="13" customHeight="1" x14ac:dyDescent="0.15">
      <c r="A400" s="48"/>
      <c r="B400" s="7"/>
      <c r="C400" s="5"/>
      <c r="D400" s="5"/>
      <c r="E400" s="5"/>
      <c r="F400" s="5"/>
      <c r="G400" s="7"/>
      <c r="H400" s="7"/>
      <c r="I400" s="7"/>
      <c r="J400" s="7"/>
      <c r="K400" s="7"/>
      <c r="L400" s="7"/>
    </row>
    <row r="401" spans="1:12" ht="13" customHeight="1" x14ac:dyDescent="0.15">
      <c r="A401" s="48"/>
      <c r="B401" s="7"/>
      <c r="C401" s="5"/>
      <c r="D401" s="5"/>
      <c r="E401" s="5"/>
      <c r="F401" s="5"/>
      <c r="G401" s="7"/>
      <c r="H401" s="7"/>
      <c r="I401" s="7"/>
      <c r="J401" s="7"/>
      <c r="K401" s="7"/>
      <c r="L401" s="7"/>
    </row>
    <row r="402" spans="1:12" ht="13" customHeight="1" x14ac:dyDescent="0.15">
      <c r="A402" s="48"/>
      <c r="B402" s="7"/>
      <c r="C402" s="5"/>
      <c r="D402" s="5"/>
      <c r="E402" s="5"/>
      <c r="F402" s="5"/>
      <c r="G402" s="7"/>
      <c r="H402" s="7"/>
      <c r="I402" s="7"/>
      <c r="J402" s="7"/>
      <c r="K402" s="7"/>
      <c r="L402" s="7"/>
    </row>
    <row r="403" spans="1:12" ht="13" customHeight="1" x14ac:dyDescent="0.15">
      <c r="A403" s="48"/>
      <c r="B403" s="7"/>
      <c r="C403" s="5"/>
      <c r="D403" s="5"/>
      <c r="E403" s="5"/>
      <c r="F403" s="5"/>
      <c r="G403" s="7"/>
      <c r="H403" s="7"/>
      <c r="I403" s="7"/>
      <c r="J403" s="7"/>
      <c r="K403" s="7"/>
      <c r="L403" s="7"/>
    </row>
    <row r="404" spans="1:12" ht="13" customHeight="1" x14ac:dyDescent="0.15">
      <c r="A404" s="48"/>
      <c r="B404" s="7"/>
      <c r="C404" s="5"/>
      <c r="D404" s="5"/>
      <c r="E404" s="5"/>
      <c r="F404" s="5"/>
      <c r="G404" s="7"/>
      <c r="H404" s="7"/>
      <c r="I404" s="7"/>
      <c r="J404" s="7"/>
      <c r="K404" s="7"/>
      <c r="L404" s="7"/>
    </row>
    <row r="405" spans="1:12" ht="13" customHeight="1" x14ac:dyDescent="0.15">
      <c r="A405" s="48"/>
      <c r="B405" s="7"/>
      <c r="C405" s="5"/>
      <c r="D405" s="5"/>
      <c r="E405" s="5"/>
      <c r="F405" s="5"/>
      <c r="G405" s="7"/>
      <c r="H405" s="7"/>
      <c r="I405" s="7"/>
      <c r="J405" s="7"/>
      <c r="K405" s="7"/>
      <c r="L405" s="7"/>
    </row>
    <row r="406" spans="1:12" ht="13" customHeight="1" x14ac:dyDescent="0.15">
      <c r="A406" s="48"/>
      <c r="B406" s="7"/>
      <c r="C406" s="5"/>
      <c r="D406" s="5"/>
      <c r="E406" s="5"/>
      <c r="F406" s="5"/>
      <c r="G406" s="7"/>
      <c r="H406" s="7"/>
      <c r="I406" s="7"/>
      <c r="J406" s="7"/>
      <c r="K406" s="7"/>
      <c r="L406" s="7"/>
    </row>
    <row r="407" spans="1:12" ht="13" customHeight="1" x14ac:dyDescent="0.15">
      <c r="A407" s="48"/>
      <c r="B407" s="7"/>
      <c r="C407" s="5"/>
      <c r="D407" s="5"/>
      <c r="E407" s="5"/>
      <c r="F407" s="5"/>
      <c r="G407" s="7"/>
      <c r="H407" s="7"/>
      <c r="I407" s="7"/>
      <c r="J407" s="7"/>
      <c r="K407" s="7"/>
      <c r="L407" s="7"/>
    </row>
    <row r="408" spans="1:12" ht="13" customHeight="1" x14ac:dyDescent="0.15">
      <c r="A408" s="48"/>
      <c r="B408" s="7"/>
      <c r="C408" s="5"/>
      <c r="D408" s="5"/>
      <c r="E408" s="5"/>
      <c r="F408" s="5"/>
      <c r="G408" s="7"/>
      <c r="H408" s="7"/>
      <c r="I408" s="7"/>
      <c r="J408" s="7"/>
      <c r="K408" s="7"/>
      <c r="L408" s="7"/>
    </row>
    <row r="409" spans="1:12" ht="13" customHeight="1" x14ac:dyDescent="0.15">
      <c r="A409" s="48"/>
      <c r="B409" s="7"/>
      <c r="C409" s="5"/>
      <c r="D409" s="5"/>
      <c r="E409" s="5"/>
      <c r="F409" s="5"/>
      <c r="G409" s="7"/>
      <c r="H409" s="7"/>
      <c r="I409" s="7"/>
      <c r="J409" s="7"/>
      <c r="K409" s="7"/>
      <c r="L409" s="7"/>
    </row>
    <row r="410" spans="1:12" ht="13" customHeight="1" x14ac:dyDescent="0.15">
      <c r="A410" s="48"/>
      <c r="B410" s="7"/>
      <c r="C410" s="5"/>
      <c r="D410" s="5"/>
      <c r="E410" s="5"/>
      <c r="F410" s="5"/>
      <c r="G410" s="7"/>
      <c r="H410" s="7"/>
      <c r="I410" s="7"/>
      <c r="J410" s="7"/>
      <c r="K410" s="7"/>
      <c r="L410" s="7"/>
    </row>
    <row r="411" spans="1:12" ht="13" customHeight="1" x14ac:dyDescent="0.15">
      <c r="A411" s="48"/>
      <c r="B411" s="7"/>
      <c r="C411" s="5"/>
      <c r="D411" s="5"/>
      <c r="E411" s="5"/>
      <c r="F411" s="5"/>
      <c r="G411" s="7"/>
      <c r="H411" s="7"/>
      <c r="I411" s="7"/>
      <c r="J411" s="7"/>
      <c r="K411" s="7"/>
      <c r="L411" s="7"/>
    </row>
    <row r="412" spans="1:12" ht="13" customHeight="1" x14ac:dyDescent="0.15">
      <c r="A412" s="48"/>
      <c r="B412" s="7"/>
      <c r="C412" s="5"/>
      <c r="D412" s="5"/>
      <c r="E412" s="5"/>
      <c r="F412" s="5"/>
      <c r="G412" s="7"/>
      <c r="H412" s="7"/>
      <c r="I412" s="7"/>
      <c r="J412" s="7"/>
      <c r="K412" s="7"/>
      <c r="L412" s="7"/>
    </row>
    <row r="413" spans="1:12" ht="13" customHeight="1" x14ac:dyDescent="0.15">
      <c r="A413" s="48"/>
      <c r="B413" s="7"/>
      <c r="C413" s="5"/>
      <c r="D413" s="5"/>
      <c r="E413" s="5"/>
      <c r="F413" s="5"/>
      <c r="G413" s="7"/>
      <c r="H413" s="7"/>
      <c r="I413" s="7"/>
      <c r="J413" s="7"/>
      <c r="K413" s="7"/>
      <c r="L413" s="7"/>
    </row>
    <row r="414" spans="1:12" ht="13" customHeight="1" x14ac:dyDescent="0.15">
      <c r="A414" s="48"/>
      <c r="B414" s="7"/>
      <c r="C414" s="5"/>
      <c r="D414" s="5"/>
      <c r="E414" s="5"/>
      <c r="F414" s="5"/>
      <c r="G414" s="7"/>
      <c r="H414" s="7"/>
      <c r="I414" s="7"/>
      <c r="J414" s="7"/>
      <c r="K414" s="7"/>
      <c r="L414" s="7"/>
    </row>
    <row r="415" spans="1:12" ht="13" customHeight="1" x14ac:dyDescent="0.15">
      <c r="A415" s="48"/>
      <c r="B415" s="7"/>
      <c r="C415" s="5"/>
      <c r="D415" s="5"/>
      <c r="E415" s="5"/>
      <c r="F415" s="5"/>
      <c r="G415" s="7"/>
      <c r="H415" s="7"/>
      <c r="I415" s="7"/>
      <c r="J415" s="7"/>
      <c r="K415" s="7"/>
      <c r="L415" s="7"/>
    </row>
    <row r="416" spans="1:12" ht="13" customHeight="1" x14ac:dyDescent="0.15">
      <c r="A416" s="48"/>
      <c r="B416" s="7"/>
      <c r="C416" s="5"/>
      <c r="D416" s="5"/>
      <c r="E416" s="5"/>
      <c r="F416" s="5"/>
      <c r="G416" s="7"/>
      <c r="H416" s="7"/>
      <c r="I416" s="7"/>
      <c r="J416" s="7"/>
      <c r="K416" s="7"/>
      <c r="L416" s="7"/>
    </row>
    <row r="417" spans="1:12" ht="13" customHeight="1" x14ac:dyDescent="0.15">
      <c r="A417" s="48"/>
      <c r="B417" s="7"/>
      <c r="C417" s="5"/>
      <c r="D417" s="5"/>
      <c r="E417" s="5"/>
      <c r="F417" s="5"/>
      <c r="G417" s="7"/>
      <c r="H417" s="7"/>
      <c r="I417" s="7"/>
      <c r="J417" s="7"/>
      <c r="K417" s="7"/>
      <c r="L417" s="7"/>
    </row>
    <row r="418" spans="1:12" ht="13" customHeight="1" x14ac:dyDescent="0.15">
      <c r="A418" s="48"/>
      <c r="B418" s="7"/>
      <c r="C418" s="5"/>
      <c r="D418" s="5"/>
      <c r="E418" s="5"/>
      <c r="F418" s="5"/>
      <c r="G418" s="7"/>
      <c r="H418" s="7"/>
      <c r="I418" s="7"/>
      <c r="J418" s="7"/>
      <c r="K418" s="7"/>
      <c r="L418" s="7"/>
    </row>
    <row r="419" spans="1:12" ht="13" customHeight="1" x14ac:dyDescent="0.15">
      <c r="A419" s="48"/>
      <c r="B419" s="7"/>
      <c r="C419" s="5"/>
      <c r="D419" s="5"/>
      <c r="E419" s="5"/>
      <c r="F419" s="5"/>
      <c r="G419" s="7"/>
      <c r="H419" s="7"/>
      <c r="I419" s="7"/>
      <c r="J419" s="7"/>
      <c r="K419" s="7"/>
      <c r="L419" s="7"/>
    </row>
    <row r="420" spans="1:12" ht="13" customHeight="1" x14ac:dyDescent="0.15">
      <c r="A420" s="48"/>
      <c r="B420" s="7"/>
      <c r="C420" s="5"/>
      <c r="D420" s="5"/>
      <c r="E420" s="5"/>
      <c r="F420" s="5"/>
      <c r="G420" s="7"/>
      <c r="H420" s="7"/>
      <c r="I420" s="7"/>
      <c r="J420" s="7"/>
      <c r="K420" s="7"/>
      <c r="L420" s="7"/>
    </row>
    <row r="421" spans="1:12" ht="13" customHeight="1" x14ac:dyDescent="0.15">
      <c r="A421" s="48"/>
      <c r="B421" s="7"/>
      <c r="C421" s="5"/>
      <c r="D421" s="5"/>
      <c r="E421" s="5"/>
      <c r="F421" s="5"/>
      <c r="G421" s="7"/>
      <c r="H421" s="7"/>
      <c r="I421" s="7"/>
      <c r="J421" s="7"/>
      <c r="K421" s="7"/>
      <c r="L421" s="7"/>
    </row>
    <row r="422" spans="1:12" ht="13" customHeight="1" x14ac:dyDescent="0.15">
      <c r="A422" s="48"/>
      <c r="B422" s="7"/>
      <c r="C422" s="5"/>
      <c r="D422" s="5"/>
      <c r="E422" s="5"/>
      <c r="F422" s="5"/>
      <c r="G422" s="7"/>
      <c r="H422" s="7"/>
      <c r="I422" s="7"/>
      <c r="J422" s="7"/>
      <c r="K422" s="7"/>
      <c r="L422" s="7"/>
    </row>
    <row r="423" spans="1:12" ht="13" customHeight="1" x14ac:dyDescent="0.15">
      <c r="A423" s="48"/>
      <c r="B423" s="7"/>
      <c r="C423" s="5"/>
      <c r="D423" s="5"/>
      <c r="E423" s="5"/>
      <c r="F423" s="5"/>
      <c r="G423" s="7"/>
      <c r="H423" s="7"/>
      <c r="I423" s="7"/>
      <c r="J423" s="7"/>
      <c r="K423" s="7"/>
      <c r="L423" s="7"/>
    </row>
    <row r="424" spans="1:12" ht="13" customHeight="1" x14ac:dyDescent="0.15">
      <c r="A424" s="48"/>
      <c r="B424" s="7"/>
      <c r="C424" s="5"/>
      <c r="D424" s="5"/>
      <c r="E424" s="5"/>
      <c r="F424" s="5"/>
      <c r="G424" s="7"/>
      <c r="H424" s="7"/>
      <c r="I424" s="7"/>
      <c r="J424" s="7"/>
      <c r="K424" s="7"/>
      <c r="L424" s="7"/>
    </row>
    <row r="425" spans="1:12" ht="13" customHeight="1" x14ac:dyDescent="0.15">
      <c r="A425" s="48"/>
      <c r="B425" s="7"/>
      <c r="C425" s="5"/>
      <c r="D425" s="5"/>
      <c r="E425" s="5"/>
      <c r="F425" s="5"/>
      <c r="G425" s="7"/>
      <c r="H425" s="7"/>
      <c r="I425" s="7"/>
      <c r="J425" s="7"/>
      <c r="K425" s="7"/>
      <c r="L425" s="7"/>
    </row>
    <row r="426" spans="1:12" ht="13" customHeight="1" x14ac:dyDescent="0.15">
      <c r="A426" s="48"/>
      <c r="B426" s="7"/>
      <c r="C426" s="5"/>
      <c r="D426" s="5"/>
      <c r="E426" s="5"/>
      <c r="F426" s="5"/>
      <c r="G426" s="7"/>
      <c r="H426" s="7"/>
      <c r="I426" s="7"/>
      <c r="J426" s="7"/>
      <c r="K426" s="7"/>
      <c r="L426" s="7"/>
    </row>
    <row r="427" spans="1:12" ht="13" customHeight="1" x14ac:dyDescent="0.15">
      <c r="A427" s="48"/>
      <c r="B427" s="7"/>
      <c r="C427" s="5"/>
      <c r="D427" s="5"/>
      <c r="E427" s="5"/>
      <c r="F427" s="5"/>
      <c r="G427" s="7"/>
      <c r="H427" s="7"/>
      <c r="I427" s="7"/>
      <c r="J427" s="7"/>
      <c r="K427" s="7"/>
      <c r="L427" s="7"/>
    </row>
    <row r="428" spans="1:12" ht="13" customHeight="1" x14ac:dyDescent="0.15">
      <c r="A428" s="48"/>
      <c r="B428" s="7"/>
      <c r="C428" s="5"/>
      <c r="D428" s="5"/>
      <c r="E428" s="5"/>
      <c r="F428" s="5"/>
      <c r="G428" s="7"/>
      <c r="H428" s="7"/>
      <c r="I428" s="7"/>
      <c r="J428" s="7"/>
      <c r="K428" s="7"/>
      <c r="L428" s="7"/>
    </row>
    <row r="429" spans="1:12" ht="13" customHeight="1" x14ac:dyDescent="0.15">
      <c r="A429" s="48"/>
      <c r="B429" s="7"/>
      <c r="C429" s="5"/>
      <c r="D429" s="5"/>
      <c r="E429" s="5"/>
      <c r="F429" s="5"/>
      <c r="G429" s="7"/>
      <c r="H429" s="7"/>
      <c r="I429" s="7"/>
      <c r="J429" s="7"/>
      <c r="K429" s="7"/>
      <c r="L429" s="7"/>
    </row>
    <row r="430" spans="1:12" ht="13" customHeight="1" x14ac:dyDescent="0.15">
      <c r="A430" s="48"/>
      <c r="B430" s="7"/>
      <c r="C430" s="5"/>
      <c r="D430" s="5"/>
      <c r="E430" s="5"/>
      <c r="F430" s="5"/>
      <c r="G430" s="7"/>
      <c r="H430" s="7"/>
      <c r="I430" s="7"/>
      <c r="J430" s="7"/>
      <c r="K430" s="7"/>
      <c r="L430" s="7"/>
    </row>
    <row r="431" spans="1:12" ht="13" customHeight="1" x14ac:dyDescent="0.15">
      <c r="A431" s="48"/>
      <c r="B431" s="7"/>
      <c r="C431" s="5"/>
      <c r="D431" s="5"/>
      <c r="E431" s="5"/>
      <c r="F431" s="5"/>
      <c r="G431" s="7"/>
      <c r="H431" s="7"/>
      <c r="I431" s="7"/>
      <c r="J431" s="7"/>
      <c r="K431" s="7"/>
      <c r="L431" s="7"/>
    </row>
    <row r="432" spans="1:12" ht="13" customHeight="1" x14ac:dyDescent="0.15">
      <c r="A432" s="48"/>
      <c r="B432" s="7"/>
      <c r="C432" s="5"/>
      <c r="D432" s="5"/>
      <c r="E432" s="5"/>
      <c r="F432" s="5"/>
      <c r="G432" s="7"/>
      <c r="H432" s="7"/>
      <c r="I432" s="7"/>
      <c r="J432" s="7"/>
      <c r="K432" s="7"/>
      <c r="L432" s="7"/>
    </row>
    <row r="433" spans="1:12" ht="13" customHeight="1" x14ac:dyDescent="0.15">
      <c r="A433" s="48"/>
      <c r="B433" s="7"/>
      <c r="C433" s="5"/>
      <c r="D433" s="5"/>
      <c r="E433" s="5"/>
      <c r="F433" s="5"/>
      <c r="G433" s="7"/>
      <c r="H433" s="7"/>
      <c r="I433" s="7"/>
      <c r="J433" s="7"/>
      <c r="K433" s="7"/>
      <c r="L433" s="7"/>
    </row>
    <row r="434" spans="1:12" ht="13" customHeight="1" x14ac:dyDescent="0.15">
      <c r="A434" s="48"/>
      <c r="B434" s="7"/>
      <c r="C434" s="5"/>
      <c r="D434" s="5"/>
      <c r="E434" s="5"/>
      <c r="F434" s="5"/>
      <c r="G434" s="7"/>
      <c r="H434" s="7"/>
      <c r="I434" s="7"/>
      <c r="J434" s="7"/>
      <c r="K434" s="7"/>
      <c r="L434" s="7"/>
    </row>
    <row r="435" spans="1:12" ht="13" customHeight="1" x14ac:dyDescent="0.15">
      <c r="A435" s="48"/>
      <c r="B435" s="7"/>
      <c r="C435" s="5"/>
      <c r="D435" s="5"/>
      <c r="E435" s="5"/>
      <c r="F435" s="5"/>
      <c r="G435" s="7"/>
      <c r="H435" s="7"/>
      <c r="I435" s="7"/>
      <c r="J435" s="7"/>
      <c r="K435" s="7"/>
      <c r="L435" s="7"/>
    </row>
    <row r="436" spans="1:12" ht="13" customHeight="1" x14ac:dyDescent="0.15">
      <c r="A436" s="48"/>
      <c r="B436" s="7"/>
      <c r="C436" s="5"/>
      <c r="D436" s="5"/>
      <c r="E436" s="5"/>
      <c r="F436" s="5"/>
      <c r="G436" s="7"/>
      <c r="H436" s="7"/>
      <c r="I436" s="7"/>
      <c r="J436" s="7"/>
      <c r="K436" s="7"/>
      <c r="L436" s="7"/>
    </row>
    <row r="437" spans="1:12" ht="13" customHeight="1" x14ac:dyDescent="0.15">
      <c r="A437" s="48"/>
      <c r="B437" s="7"/>
      <c r="C437" s="5"/>
      <c r="D437" s="5"/>
      <c r="E437" s="5"/>
      <c r="F437" s="5"/>
      <c r="G437" s="7"/>
      <c r="H437" s="7"/>
      <c r="I437" s="7"/>
      <c r="J437" s="7"/>
      <c r="K437" s="7"/>
      <c r="L437" s="7"/>
    </row>
    <row r="438" spans="1:12" ht="13" customHeight="1" x14ac:dyDescent="0.15">
      <c r="A438" s="48"/>
      <c r="B438" s="7"/>
      <c r="C438" s="5"/>
      <c r="D438" s="5"/>
      <c r="E438" s="5"/>
      <c r="F438" s="5"/>
      <c r="G438" s="7"/>
      <c r="H438" s="7"/>
      <c r="I438" s="7"/>
      <c r="J438" s="7"/>
      <c r="K438" s="7"/>
      <c r="L438" s="7"/>
    </row>
    <row r="439" spans="1:12" ht="13" customHeight="1" x14ac:dyDescent="0.15">
      <c r="A439" s="48"/>
      <c r="B439" s="7"/>
      <c r="C439" s="5"/>
      <c r="D439" s="5"/>
      <c r="E439" s="5"/>
      <c r="F439" s="5"/>
      <c r="G439" s="7"/>
      <c r="H439" s="7"/>
      <c r="I439" s="7"/>
      <c r="J439" s="7"/>
      <c r="K439" s="7"/>
      <c r="L439" s="7"/>
    </row>
    <row r="440" spans="1:12" ht="13" customHeight="1" x14ac:dyDescent="0.15">
      <c r="A440" s="48"/>
      <c r="B440" s="7"/>
      <c r="C440" s="5"/>
      <c r="D440" s="5"/>
      <c r="E440" s="5"/>
      <c r="F440" s="5"/>
      <c r="G440" s="7"/>
      <c r="H440" s="7"/>
      <c r="I440" s="7"/>
      <c r="J440" s="7"/>
      <c r="K440" s="7"/>
      <c r="L440" s="7"/>
    </row>
    <row r="441" spans="1:12" ht="13" customHeight="1" x14ac:dyDescent="0.15">
      <c r="A441" s="48"/>
      <c r="B441" s="7"/>
      <c r="C441" s="5"/>
      <c r="D441" s="5"/>
      <c r="E441" s="5"/>
      <c r="F441" s="5"/>
      <c r="G441" s="7"/>
      <c r="H441" s="7"/>
      <c r="I441" s="7"/>
      <c r="J441" s="7"/>
      <c r="K441" s="7"/>
      <c r="L441" s="7"/>
    </row>
    <row r="442" spans="1:12" ht="13" customHeight="1" x14ac:dyDescent="0.15">
      <c r="A442" s="48"/>
      <c r="B442" s="7"/>
      <c r="C442" s="5"/>
      <c r="D442" s="5"/>
      <c r="E442" s="5"/>
      <c r="F442" s="5"/>
      <c r="G442" s="7"/>
      <c r="H442" s="7"/>
      <c r="I442" s="7"/>
      <c r="J442" s="7"/>
      <c r="K442" s="7"/>
      <c r="L442" s="7"/>
    </row>
    <row r="443" spans="1:12" ht="13" customHeight="1" x14ac:dyDescent="0.15">
      <c r="A443" s="48"/>
      <c r="B443" s="7"/>
      <c r="C443" s="5"/>
      <c r="D443" s="5"/>
      <c r="E443" s="5"/>
      <c r="F443" s="5"/>
      <c r="G443" s="7"/>
      <c r="H443" s="7"/>
      <c r="I443" s="7"/>
      <c r="J443" s="7"/>
      <c r="K443" s="7"/>
      <c r="L443" s="7"/>
    </row>
    <row r="444" spans="1:12" ht="13" customHeight="1" x14ac:dyDescent="0.15">
      <c r="A444" s="48"/>
      <c r="B444" s="7"/>
      <c r="C444" s="5"/>
      <c r="D444" s="5"/>
      <c r="E444" s="5"/>
      <c r="F444" s="5"/>
      <c r="G444" s="7"/>
      <c r="H444" s="7"/>
      <c r="I444" s="7"/>
      <c r="J444" s="7"/>
      <c r="K444" s="7"/>
      <c r="L444" s="7"/>
    </row>
    <row r="445" spans="1:12" ht="13" customHeight="1" x14ac:dyDescent="0.15">
      <c r="A445" s="48"/>
      <c r="B445" s="7"/>
      <c r="C445" s="5"/>
      <c r="D445" s="5"/>
      <c r="E445" s="5"/>
      <c r="F445" s="5"/>
      <c r="G445" s="7"/>
      <c r="H445" s="7"/>
      <c r="I445" s="7"/>
      <c r="J445" s="7"/>
      <c r="K445" s="7"/>
      <c r="L445" s="7"/>
    </row>
    <row r="446" spans="1:12" ht="13" customHeight="1" x14ac:dyDescent="0.15">
      <c r="A446" s="48"/>
      <c r="B446" s="7"/>
      <c r="C446" s="5"/>
      <c r="D446" s="5"/>
      <c r="E446" s="5"/>
      <c r="F446" s="5"/>
      <c r="G446" s="7"/>
      <c r="H446" s="7"/>
      <c r="I446" s="7"/>
      <c r="J446" s="7"/>
      <c r="K446" s="7"/>
      <c r="L446" s="7"/>
    </row>
    <row r="447" spans="1:12" ht="13" customHeight="1" x14ac:dyDescent="0.15">
      <c r="A447" s="48"/>
      <c r="B447" s="7"/>
      <c r="C447" s="5"/>
      <c r="D447" s="5"/>
      <c r="E447" s="5"/>
      <c r="F447" s="5"/>
      <c r="G447" s="7"/>
      <c r="H447" s="7"/>
      <c r="I447" s="7"/>
      <c r="J447" s="7"/>
      <c r="K447" s="7"/>
      <c r="L447" s="7"/>
    </row>
    <row r="448" spans="1:12" ht="13" customHeight="1" x14ac:dyDescent="0.15">
      <c r="A448" s="48"/>
      <c r="B448" s="7"/>
      <c r="C448" s="5"/>
      <c r="D448" s="5"/>
      <c r="E448" s="5"/>
      <c r="F448" s="5"/>
      <c r="G448" s="7"/>
      <c r="H448" s="7"/>
      <c r="I448" s="7"/>
      <c r="J448" s="7"/>
      <c r="K448" s="7"/>
      <c r="L448" s="7"/>
    </row>
    <row r="449" spans="1:12" ht="13" customHeight="1" x14ac:dyDescent="0.15">
      <c r="A449" s="48"/>
      <c r="B449" s="7"/>
      <c r="C449" s="5"/>
      <c r="D449" s="5"/>
      <c r="E449" s="5"/>
      <c r="F449" s="5"/>
      <c r="G449" s="7"/>
      <c r="H449" s="7"/>
      <c r="I449" s="7"/>
      <c r="J449" s="7"/>
      <c r="K449" s="7"/>
      <c r="L449" s="7"/>
    </row>
    <row r="450" spans="1:12" ht="13" customHeight="1" x14ac:dyDescent="0.15">
      <c r="A450" s="48"/>
      <c r="B450" s="7"/>
      <c r="C450" s="5"/>
      <c r="D450" s="5"/>
      <c r="E450" s="5"/>
      <c r="F450" s="5"/>
      <c r="G450" s="7"/>
      <c r="H450" s="7"/>
      <c r="I450" s="7"/>
      <c r="J450" s="7"/>
      <c r="K450" s="7"/>
      <c r="L450" s="7"/>
    </row>
    <row r="451" spans="1:12" ht="13" customHeight="1" x14ac:dyDescent="0.15">
      <c r="A451" s="48"/>
      <c r="B451" s="7"/>
      <c r="C451" s="5"/>
      <c r="D451" s="5"/>
      <c r="E451" s="5"/>
      <c r="F451" s="5"/>
      <c r="G451" s="7"/>
      <c r="H451" s="7"/>
      <c r="I451" s="7"/>
      <c r="J451" s="7"/>
      <c r="K451" s="7"/>
      <c r="L451" s="7"/>
    </row>
    <row r="452" spans="1:12" ht="13" customHeight="1" x14ac:dyDescent="0.15">
      <c r="A452" s="48"/>
      <c r="B452" s="7"/>
      <c r="C452" s="5"/>
      <c r="D452" s="5"/>
      <c r="E452" s="5"/>
      <c r="F452" s="5"/>
      <c r="G452" s="7"/>
      <c r="H452" s="7"/>
      <c r="I452" s="7"/>
      <c r="J452" s="7"/>
      <c r="K452" s="7"/>
      <c r="L452" s="7"/>
    </row>
    <row r="453" spans="1:12" ht="13" customHeight="1" x14ac:dyDescent="0.15">
      <c r="A453" s="48"/>
      <c r="B453" s="7"/>
      <c r="C453" s="5"/>
      <c r="D453" s="5"/>
      <c r="E453" s="5"/>
      <c r="F453" s="5"/>
      <c r="G453" s="7"/>
      <c r="H453" s="7"/>
      <c r="I453" s="7"/>
      <c r="J453" s="7"/>
      <c r="K453" s="7"/>
      <c r="L453" s="7"/>
    </row>
    <row r="454" spans="1:12" ht="13" customHeight="1" x14ac:dyDescent="0.15">
      <c r="A454" s="48"/>
      <c r="B454" s="7"/>
      <c r="C454" s="5"/>
      <c r="D454" s="5"/>
      <c r="E454" s="5"/>
      <c r="F454" s="5"/>
      <c r="G454" s="7"/>
      <c r="H454" s="7"/>
      <c r="I454" s="7"/>
      <c r="J454" s="7"/>
      <c r="K454" s="7"/>
      <c r="L454" s="7"/>
    </row>
    <row r="455" spans="1:12" ht="13" customHeight="1" x14ac:dyDescent="0.15">
      <c r="A455" s="48"/>
      <c r="B455" s="7"/>
      <c r="C455" s="5"/>
      <c r="D455" s="5"/>
      <c r="E455" s="5"/>
      <c r="F455" s="5"/>
      <c r="G455" s="7"/>
      <c r="H455" s="7"/>
      <c r="I455" s="7"/>
      <c r="J455" s="7"/>
      <c r="K455" s="7"/>
      <c r="L455" s="7"/>
    </row>
    <row r="456" spans="1:12" ht="13" customHeight="1" x14ac:dyDescent="0.15">
      <c r="A456" s="48"/>
      <c r="B456" s="7"/>
      <c r="C456" s="5"/>
      <c r="D456" s="5"/>
      <c r="E456" s="5"/>
      <c r="F456" s="5"/>
      <c r="G456" s="7"/>
      <c r="H456" s="7"/>
      <c r="I456" s="7"/>
      <c r="J456" s="7"/>
      <c r="K456" s="7"/>
      <c r="L456" s="7"/>
    </row>
    <row r="457" spans="1:12" ht="13" customHeight="1" x14ac:dyDescent="0.15">
      <c r="A457" s="48"/>
      <c r="B457" s="7"/>
      <c r="C457" s="5"/>
      <c r="D457" s="5"/>
      <c r="E457" s="5"/>
      <c r="F457" s="5"/>
      <c r="G457" s="7"/>
      <c r="H457" s="7"/>
      <c r="I457" s="7"/>
      <c r="J457" s="7"/>
      <c r="K457" s="7"/>
      <c r="L457" s="7"/>
    </row>
    <row r="458" spans="1:12" ht="13" customHeight="1" x14ac:dyDescent="0.15">
      <c r="A458" s="48"/>
      <c r="B458" s="7"/>
      <c r="C458" s="5"/>
      <c r="D458" s="5"/>
      <c r="E458" s="5"/>
      <c r="F458" s="5"/>
      <c r="G458" s="7"/>
      <c r="H458" s="7"/>
      <c r="I458" s="7"/>
      <c r="J458" s="7"/>
      <c r="K458" s="7"/>
      <c r="L458" s="7"/>
    </row>
    <row r="459" spans="1:12" ht="13" customHeight="1" x14ac:dyDescent="0.15">
      <c r="A459" s="48"/>
      <c r="B459" s="7"/>
      <c r="C459" s="5"/>
      <c r="D459" s="5"/>
      <c r="E459" s="5"/>
      <c r="F459" s="5"/>
      <c r="G459" s="7"/>
      <c r="H459" s="7"/>
      <c r="I459" s="7"/>
      <c r="J459" s="7"/>
      <c r="K459" s="7"/>
      <c r="L459" s="7"/>
    </row>
    <row r="460" spans="1:12" ht="13" customHeight="1" x14ac:dyDescent="0.15">
      <c r="A460" s="48"/>
      <c r="B460" s="7"/>
      <c r="C460" s="5"/>
      <c r="D460" s="5"/>
      <c r="E460" s="5"/>
      <c r="F460" s="5"/>
      <c r="G460" s="7"/>
      <c r="H460" s="7"/>
      <c r="I460" s="7"/>
      <c r="J460" s="7"/>
      <c r="K460" s="7"/>
      <c r="L460" s="7"/>
    </row>
    <row r="461" spans="1:12" ht="13" customHeight="1" x14ac:dyDescent="0.15">
      <c r="A461" s="48"/>
      <c r="B461" s="7"/>
      <c r="C461" s="5"/>
      <c r="D461" s="5"/>
      <c r="E461" s="5"/>
      <c r="F461" s="5"/>
      <c r="G461" s="7"/>
      <c r="H461" s="7"/>
      <c r="I461" s="7"/>
      <c r="J461" s="7"/>
      <c r="K461" s="7"/>
      <c r="L461" s="7"/>
    </row>
    <row r="462" spans="1:12" ht="13" customHeight="1" x14ac:dyDescent="0.15">
      <c r="A462" s="48"/>
      <c r="B462" s="7"/>
      <c r="C462" s="5"/>
      <c r="D462" s="5"/>
      <c r="E462" s="5"/>
      <c r="F462" s="5"/>
      <c r="G462" s="7"/>
      <c r="H462" s="7"/>
      <c r="I462" s="7"/>
      <c r="J462" s="7"/>
      <c r="K462" s="7"/>
      <c r="L462" s="7"/>
    </row>
    <row r="463" spans="1:12" ht="13" customHeight="1" x14ac:dyDescent="0.15">
      <c r="A463" s="48"/>
      <c r="B463" s="7"/>
      <c r="C463" s="5"/>
      <c r="D463" s="5"/>
      <c r="E463" s="5"/>
      <c r="F463" s="5"/>
      <c r="G463" s="7"/>
      <c r="H463" s="7"/>
      <c r="I463" s="7"/>
      <c r="J463" s="7"/>
      <c r="K463" s="7"/>
      <c r="L463" s="7"/>
    </row>
    <row r="464" spans="1:12" ht="13" customHeight="1" x14ac:dyDescent="0.15">
      <c r="A464" s="48"/>
      <c r="B464" s="7"/>
      <c r="C464" s="5"/>
      <c r="D464" s="5"/>
      <c r="E464" s="5"/>
      <c r="F464" s="5"/>
      <c r="G464" s="7"/>
      <c r="H464" s="7"/>
      <c r="I464" s="7"/>
      <c r="J464" s="7"/>
      <c r="K464" s="7"/>
      <c r="L464" s="7"/>
    </row>
    <row r="465" spans="1:12" ht="13" customHeight="1" x14ac:dyDescent="0.15">
      <c r="A465" s="48"/>
      <c r="B465" s="7"/>
      <c r="C465" s="5"/>
      <c r="D465" s="5"/>
      <c r="E465" s="5"/>
      <c r="F465" s="5"/>
      <c r="G465" s="7"/>
      <c r="H465" s="7"/>
      <c r="I465" s="7"/>
      <c r="J465" s="7"/>
      <c r="K465" s="7"/>
      <c r="L465" s="7"/>
    </row>
    <row r="466" spans="1:12" ht="13" customHeight="1" x14ac:dyDescent="0.15">
      <c r="A466" s="48"/>
      <c r="B466" s="7"/>
      <c r="C466" s="5"/>
      <c r="D466" s="5"/>
      <c r="E466" s="5"/>
      <c r="F466" s="5"/>
      <c r="G466" s="7"/>
      <c r="H466" s="7"/>
      <c r="I466" s="7"/>
      <c r="J466" s="7"/>
      <c r="K466" s="7"/>
      <c r="L466" s="7"/>
    </row>
    <row r="467" spans="1:12" ht="13" customHeight="1" x14ac:dyDescent="0.15">
      <c r="A467" s="48"/>
      <c r="B467" s="7"/>
      <c r="C467" s="5"/>
      <c r="D467" s="5"/>
      <c r="E467" s="5"/>
      <c r="F467" s="5"/>
      <c r="G467" s="7"/>
      <c r="H467" s="7"/>
      <c r="I467" s="7"/>
      <c r="J467" s="7"/>
      <c r="K467" s="7"/>
      <c r="L467" s="7"/>
    </row>
    <row r="468" spans="1:12" ht="13" customHeight="1" x14ac:dyDescent="0.15">
      <c r="A468" s="48"/>
      <c r="B468" s="7"/>
      <c r="C468" s="5"/>
      <c r="D468" s="5"/>
      <c r="E468" s="5"/>
      <c r="F468" s="5"/>
      <c r="G468" s="7"/>
      <c r="H468" s="7"/>
      <c r="I468" s="7"/>
      <c r="J468" s="7"/>
      <c r="K468" s="7"/>
      <c r="L468" s="7"/>
    </row>
    <row r="469" spans="1:12" ht="13" customHeight="1" x14ac:dyDescent="0.15">
      <c r="A469" s="48"/>
      <c r="B469" s="7"/>
      <c r="C469" s="5"/>
      <c r="D469" s="5"/>
      <c r="E469" s="5"/>
      <c r="F469" s="5"/>
      <c r="G469" s="7"/>
      <c r="H469" s="7"/>
      <c r="I469" s="7"/>
      <c r="J469" s="7"/>
      <c r="K469" s="7"/>
      <c r="L469" s="7"/>
    </row>
    <row r="470" spans="1:12" ht="13" customHeight="1" x14ac:dyDescent="0.15">
      <c r="A470" s="48"/>
      <c r="B470" s="7"/>
      <c r="C470" s="5"/>
      <c r="D470" s="5"/>
      <c r="E470" s="5"/>
      <c r="F470" s="5"/>
      <c r="G470" s="7"/>
      <c r="H470" s="7"/>
      <c r="I470" s="7"/>
      <c r="J470" s="7"/>
      <c r="K470" s="7"/>
      <c r="L470" s="7"/>
    </row>
    <row r="471" spans="1:12" ht="13" customHeight="1" x14ac:dyDescent="0.15">
      <c r="A471" s="48"/>
      <c r="B471" s="7"/>
      <c r="C471" s="5"/>
      <c r="D471" s="5"/>
      <c r="E471" s="5"/>
      <c r="F471" s="5"/>
      <c r="G471" s="7"/>
      <c r="H471" s="7"/>
      <c r="I471" s="7"/>
      <c r="J471" s="7"/>
      <c r="K471" s="7"/>
      <c r="L471" s="7"/>
    </row>
    <row r="472" spans="1:12" ht="13" customHeight="1" x14ac:dyDescent="0.15">
      <c r="A472" s="48"/>
      <c r="B472" s="7"/>
      <c r="C472" s="5"/>
      <c r="D472" s="5"/>
      <c r="E472" s="5"/>
      <c r="F472" s="5"/>
      <c r="G472" s="7"/>
      <c r="H472" s="7"/>
      <c r="I472" s="7"/>
      <c r="J472" s="7"/>
      <c r="K472" s="7"/>
      <c r="L472" s="7"/>
    </row>
    <row r="473" spans="1:12" ht="13" customHeight="1" x14ac:dyDescent="0.15">
      <c r="A473" s="48"/>
      <c r="B473" s="7"/>
      <c r="C473" s="5"/>
      <c r="D473" s="5"/>
      <c r="E473" s="5"/>
      <c r="F473" s="5"/>
      <c r="G473" s="7"/>
      <c r="H473" s="7"/>
      <c r="I473" s="7"/>
      <c r="J473" s="7"/>
      <c r="K473" s="7"/>
      <c r="L473" s="7"/>
    </row>
    <row r="474" spans="1:12" ht="13" customHeight="1" x14ac:dyDescent="0.15">
      <c r="A474" s="48"/>
      <c r="B474" s="7"/>
      <c r="C474" s="5"/>
      <c r="D474" s="5"/>
      <c r="E474" s="5"/>
      <c r="F474" s="5"/>
      <c r="G474" s="7"/>
      <c r="H474" s="7"/>
      <c r="I474" s="7"/>
      <c r="J474" s="7"/>
      <c r="K474" s="7"/>
      <c r="L474" s="7"/>
    </row>
    <row r="475" spans="1:12" ht="13" customHeight="1" x14ac:dyDescent="0.15">
      <c r="A475" s="48"/>
      <c r="B475" s="7"/>
      <c r="C475" s="5"/>
      <c r="D475" s="5"/>
      <c r="E475" s="5"/>
      <c r="F475" s="5"/>
      <c r="G475" s="7"/>
      <c r="H475" s="7"/>
      <c r="I475" s="7"/>
      <c r="J475" s="7"/>
      <c r="K475" s="7"/>
      <c r="L475" s="7"/>
    </row>
    <row r="476" spans="1:12" ht="13" customHeight="1" x14ac:dyDescent="0.15">
      <c r="A476" s="48"/>
      <c r="B476" s="7"/>
      <c r="C476" s="5"/>
      <c r="D476" s="5"/>
      <c r="E476" s="5"/>
      <c r="F476" s="5"/>
      <c r="G476" s="7"/>
      <c r="H476" s="7"/>
      <c r="I476" s="7"/>
      <c r="J476" s="7"/>
      <c r="K476" s="7"/>
      <c r="L476" s="7"/>
    </row>
    <row r="477" spans="1:12" ht="13" customHeight="1" x14ac:dyDescent="0.15">
      <c r="A477" s="48"/>
      <c r="B477" s="7"/>
      <c r="C477" s="5"/>
      <c r="D477" s="5"/>
      <c r="E477" s="5"/>
      <c r="F477" s="5"/>
      <c r="G477" s="7"/>
      <c r="H477" s="7"/>
      <c r="I477" s="7"/>
      <c r="J477" s="7"/>
      <c r="K477" s="7"/>
      <c r="L477" s="7"/>
    </row>
    <row r="478" spans="1:12" ht="13" customHeight="1" x14ac:dyDescent="0.15">
      <c r="A478" s="48"/>
      <c r="B478" s="7"/>
      <c r="C478" s="5"/>
      <c r="D478" s="5"/>
      <c r="E478" s="5"/>
      <c r="F478" s="5"/>
      <c r="G478" s="7"/>
      <c r="H478" s="7"/>
      <c r="I478" s="7"/>
      <c r="J478" s="7"/>
      <c r="K478" s="7"/>
      <c r="L478" s="7"/>
    </row>
    <row r="479" spans="1:12" ht="13" customHeight="1" x14ac:dyDescent="0.15">
      <c r="A479" s="48"/>
      <c r="B479" s="7"/>
      <c r="C479" s="5"/>
      <c r="D479" s="5"/>
      <c r="E479" s="5"/>
      <c r="F479" s="5"/>
      <c r="G479" s="7"/>
      <c r="H479" s="7"/>
      <c r="I479" s="7"/>
      <c r="J479" s="7"/>
      <c r="K479" s="7"/>
      <c r="L479" s="7"/>
    </row>
    <row r="480" spans="1:12" ht="13" customHeight="1" x14ac:dyDescent="0.15">
      <c r="A480" s="48"/>
      <c r="B480" s="7"/>
      <c r="C480" s="5"/>
      <c r="D480" s="5"/>
      <c r="E480" s="5"/>
      <c r="F480" s="5"/>
      <c r="G480" s="7"/>
      <c r="H480" s="7"/>
      <c r="I480" s="7"/>
      <c r="J480" s="7"/>
      <c r="K480" s="7"/>
      <c r="L480" s="7"/>
    </row>
    <row r="481" spans="1:12" ht="13" customHeight="1" x14ac:dyDescent="0.15">
      <c r="A481" s="48"/>
      <c r="B481" s="7"/>
      <c r="C481" s="5"/>
      <c r="D481" s="5"/>
      <c r="E481" s="5"/>
      <c r="F481" s="5"/>
      <c r="G481" s="7"/>
      <c r="H481" s="7"/>
      <c r="I481" s="7"/>
      <c r="J481" s="7"/>
      <c r="K481" s="7"/>
      <c r="L481" s="7"/>
    </row>
    <row r="482" spans="1:12" ht="13" customHeight="1" x14ac:dyDescent="0.15">
      <c r="A482" s="48"/>
      <c r="B482" s="7"/>
      <c r="C482" s="5"/>
      <c r="D482" s="5"/>
      <c r="E482" s="5"/>
      <c r="F482" s="5"/>
      <c r="G482" s="7"/>
      <c r="H482" s="7"/>
      <c r="I482" s="7"/>
      <c r="J482" s="7"/>
      <c r="K482" s="7"/>
      <c r="L482" s="7"/>
    </row>
    <row r="483" spans="1:12" ht="13" customHeight="1" x14ac:dyDescent="0.15">
      <c r="A483" s="48"/>
      <c r="B483" s="7"/>
      <c r="C483" s="5"/>
      <c r="D483" s="5"/>
      <c r="E483" s="5"/>
      <c r="F483" s="5"/>
      <c r="G483" s="7"/>
      <c r="H483" s="7"/>
      <c r="I483" s="7"/>
      <c r="J483" s="7"/>
      <c r="K483" s="7"/>
      <c r="L483" s="7"/>
    </row>
    <row r="484" spans="1:12" ht="13" customHeight="1" x14ac:dyDescent="0.15">
      <c r="A484" s="48"/>
      <c r="B484" s="7"/>
      <c r="C484" s="5"/>
      <c r="D484" s="5"/>
      <c r="E484" s="5"/>
      <c r="F484" s="5"/>
      <c r="G484" s="7"/>
      <c r="H484" s="7"/>
      <c r="I484" s="7"/>
      <c r="J484" s="7"/>
      <c r="K484" s="7"/>
      <c r="L484" s="7"/>
    </row>
    <row r="485" spans="1:12" ht="13" customHeight="1" x14ac:dyDescent="0.15">
      <c r="A485" s="48"/>
      <c r="B485" s="7"/>
      <c r="C485" s="5"/>
      <c r="D485" s="5"/>
      <c r="E485" s="5"/>
      <c r="F485" s="5"/>
      <c r="G485" s="7"/>
      <c r="H485" s="7"/>
      <c r="I485" s="7"/>
      <c r="J485" s="7"/>
      <c r="K485" s="7"/>
      <c r="L485" s="7"/>
    </row>
    <row r="486" spans="1:12" ht="13" customHeight="1" x14ac:dyDescent="0.15">
      <c r="A486" s="48"/>
      <c r="B486" s="7"/>
      <c r="C486" s="5"/>
      <c r="D486" s="5"/>
      <c r="E486" s="5"/>
      <c r="F486" s="5"/>
      <c r="G486" s="7"/>
      <c r="H486" s="7"/>
      <c r="I486" s="7"/>
      <c r="J486" s="7"/>
      <c r="K486" s="7"/>
      <c r="L486" s="7"/>
    </row>
    <row r="487" spans="1:12" ht="13" customHeight="1" x14ac:dyDescent="0.15">
      <c r="A487" s="48"/>
      <c r="B487" s="7"/>
      <c r="C487" s="5"/>
      <c r="D487" s="5"/>
      <c r="E487" s="5"/>
      <c r="F487" s="5"/>
      <c r="G487" s="7"/>
      <c r="H487" s="7"/>
      <c r="I487" s="7"/>
      <c r="J487" s="7"/>
      <c r="K487" s="7"/>
      <c r="L487" s="7"/>
    </row>
    <row r="488" spans="1:12" ht="13" customHeight="1" x14ac:dyDescent="0.15">
      <c r="A488" s="48"/>
      <c r="B488" s="7"/>
      <c r="C488" s="5"/>
      <c r="D488" s="5"/>
      <c r="E488" s="5"/>
      <c r="F488" s="5"/>
      <c r="G488" s="7"/>
      <c r="H488" s="7"/>
      <c r="I488" s="7"/>
      <c r="J488" s="7"/>
      <c r="K488" s="7"/>
      <c r="L488" s="7"/>
    </row>
    <row r="489" spans="1:12" ht="13" customHeight="1" x14ac:dyDescent="0.15">
      <c r="A489" s="48"/>
      <c r="B489" s="7"/>
      <c r="C489" s="5"/>
      <c r="D489" s="5"/>
      <c r="E489" s="5"/>
      <c r="F489" s="5"/>
      <c r="G489" s="7"/>
      <c r="H489" s="7"/>
      <c r="I489" s="7"/>
      <c r="J489" s="7"/>
      <c r="K489" s="7"/>
      <c r="L489" s="7"/>
    </row>
    <row r="490" spans="1:12" ht="13" customHeight="1" x14ac:dyDescent="0.15">
      <c r="A490" s="48"/>
      <c r="B490" s="7"/>
      <c r="C490" s="5"/>
      <c r="D490" s="5"/>
      <c r="E490" s="5"/>
      <c r="F490" s="5"/>
      <c r="G490" s="7"/>
      <c r="H490" s="7"/>
      <c r="I490" s="7"/>
      <c r="J490" s="7"/>
      <c r="K490" s="7"/>
      <c r="L490" s="7"/>
    </row>
    <row r="491" spans="1:12" ht="13" customHeight="1" x14ac:dyDescent="0.15">
      <c r="A491" s="48"/>
      <c r="B491" s="7"/>
      <c r="C491" s="5"/>
      <c r="D491" s="5"/>
      <c r="E491" s="5"/>
      <c r="F491" s="5"/>
      <c r="G491" s="7"/>
      <c r="H491" s="7"/>
      <c r="I491" s="7"/>
      <c r="J491" s="7"/>
      <c r="K491" s="7"/>
      <c r="L491" s="7"/>
    </row>
    <row r="492" spans="1:12" ht="13" customHeight="1" x14ac:dyDescent="0.15">
      <c r="A492" s="48"/>
      <c r="B492" s="7"/>
      <c r="C492" s="5"/>
      <c r="D492" s="5"/>
      <c r="E492" s="5"/>
      <c r="F492" s="5"/>
      <c r="G492" s="7"/>
      <c r="H492" s="7"/>
      <c r="I492" s="7"/>
      <c r="J492" s="7"/>
      <c r="K492" s="7"/>
      <c r="L492" s="7"/>
    </row>
    <row r="493" spans="1:12" ht="13" customHeight="1" x14ac:dyDescent="0.15">
      <c r="A493" s="48"/>
      <c r="B493" s="7"/>
      <c r="C493" s="5"/>
      <c r="D493" s="5"/>
      <c r="E493" s="5"/>
      <c r="F493" s="5"/>
      <c r="G493" s="7"/>
      <c r="H493" s="7"/>
      <c r="I493" s="7"/>
      <c r="J493" s="7"/>
      <c r="K493" s="7"/>
      <c r="L493" s="7"/>
    </row>
    <row r="494" spans="1:12" ht="13" customHeight="1" x14ac:dyDescent="0.15">
      <c r="A494" s="48"/>
      <c r="B494" s="7"/>
      <c r="C494" s="5"/>
      <c r="D494" s="5"/>
      <c r="E494" s="5"/>
      <c r="F494" s="5"/>
      <c r="G494" s="7"/>
      <c r="H494" s="7"/>
      <c r="I494" s="7"/>
      <c r="J494" s="7"/>
      <c r="K494" s="7"/>
      <c r="L494" s="7"/>
    </row>
    <row r="495" spans="1:12" ht="13" customHeight="1" x14ac:dyDescent="0.15">
      <c r="A495" s="48"/>
      <c r="B495" s="7"/>
      <c r="C495" s="5"/>
      <c r="D495" s="5"/>
      <c r="E495" s="5"/>
      <c r="F495" s="5"/>
      <c r="G495" s="7"/>
      <c r="H495" s="7"/>
      <c r="I495" s="7"/>
      <c r="J495" s="7"/>
      <c r="K495" s="7"/>
      <c r="L495" s="7"/>
    </row>
    <row r="496" spans="1:12" ht="13" customHeight="1" x14ac:dyDescent="0.15">
      <c r="A496" s="48"/>
      <c r="B496" s="7"/>
      <c r="C496" s="5"/>
      <c r="D496" s="5"/>
      <c r="E496" s="5"/>
      <c r="F496" s="5"/>
      <c r="G496" s="7"/>
      <c r="H496" s="7"/>
      <c r="I496" s="7"/>
      <c r="J496" s="7"/>
      <c r="K496" s="7"/>
      <c r="L496" s="7"/>
    </row>
    <row r="497" spans="1:12" ht="13" customHeight="1" x14ac:dyDescent="0.15">
      <c r="A497" s="48"/>
      <c r="B497" s="7"/>
      <c r="C497" s="5"/>
      <c r="D497" s="5"/>
      <c r="E497" s="5"/>
      <c r="F497" s="5"/>
      <c r="G497" s="7"/>
      <c r="H497" s="7"/>
      <c r="I497" s="7"/>
      <c r="J497" s="7"/>
      <c r="K497" s="7"/>
      <c r="L497" s="7"/>
    </row>
    <row r="498" spans="1:12" ht="13" customHeight="1" x14ac:dyDescent="0.15">
      <c r="A498" s="48"/>
      <c r="B498" s="7"/>
      <c r="C498" s="5"/>
      <c r="D498" s="5"/>
      <c r="E498" s="5"/>
      <c r="F498" s="5"/>
      <c r="G498" s="7"/>
      <c r="H498" s="7"/>
      <c r="I498" s="7"/>
      <c r="J498" s="7"/>
      <c r="K498" s="7"/>
      <c r="L498" s="7"/>
    </row>
    <row r="499" spans="1:12" ht="13" customHeight="1" x14ac:dyDescent="0.15">
      <c r="A499" s="48"/>
      <c r="B499" s="7"/>
      <c r="C499" s="5"/>
      <c r="D499" s="5"/>
      <c r="E499" s="5"/>
      <c r="F499" s="5"/>
      <c r="G499" s="7"/>
      <c r="H499" s="7"/>
      <c r="I499" s="7"/>
      <c r="J499" s="7"/>
      <c r="K499" s="7"/>
      <c r="L499" s="7"/>
    </row>
    <row r="500" spans="1:12" ht="13" customHeight="1" x14ac:dyDescent="0.15">
      <c r="A500" s="48"/>
      <c r="B500" s="7"/>
      <c r="C500" s="5"/>
      <c r="D500" s="5"/>
      <c r="E500" s="5"/>
      <c r="F500" s="5"/>
      <c r="G500" s="7"/>
      <c r="H500" s="7"/>
      <c r="I500" s="7"/>
      <c r="J500" s="7"/>
      <c r="K500" s="7"/>
      <c r="L500" s="7"/>
    </row>
    <row r="501" spans="1:12" ht="13" customHeight="1" x14ac:dyDescent="0.15">
      <c r="A501" s="48"/>
      <c r="B501" s="7"/>
      <c r="C501" s="5"/>
      <c r="D501" s="5"/>
      <c r="E501" s="5"/>
      <c r="F501" s="5"/>
      <c r="G501" s="7"/>
      <c r="H501" s="7"/>
      <c r="I501" s="7"/>
      <c r="J501" s="7"/>
      <c r="K501" s="7"/>
      <c r="L501" s="7"/>
    </row>
    <row r="502" spans="1:12" ht="13" customHeight="1" x14ac:dyDescent="0.15">
      <c r="A502" s="48"/>
      <c r="B502" s="7"/>
      <c r="C502" s="5"/>
      <c r="D502" s="5"/>
      <c r="E502" s="5"/>
      <c r="F502" s="5"/>
      <c r="G502" s="7"/>
      <c r="H502" s="7"/>
      <c r="I502" s="7"/>
      <c r="J502" s="7"/>
      <c r="K502" s="7"/>
      <c r="L502" s="7"/>
    </row>
    <row r="503" spans="1:12" ht="13" customHeight="1" x14ac:dyDescent="0.15">
      <c r="A503" s="48"/>
      <c r="B503" s="7"/>
      <c r="C503" s="5"/>
      <c r="D503" s="5"/>
      <c r="E503" s="5"/>
      <c r="F503" s="5"/>
      <c r="G503" s="7"/>
      <c r="H503" s="7"/>
      <c r="I503" s="7"/>
      <c r="J503" s="7"/>
      <c r="K503" s="7"/>
      <c r="L503" s="7"/>
    </row>
    <row r="504" spans="1:12" ht="13" customHeight="1" x14ac:dyDescent="0.15">
      <c r="A504" s="48"/>
      <c r="B504" s="7"/>
      <c r="C504" s="5"/>
      <c r="D504" s="5"/>
      <c r="E504" s="5"/>
      <c r="F504" s="5"/>
      <c r="G504" s="7"/>
      <c r="H504" s="7"/>
      <c r="I504" s="7"/>
      <c r="J504" s="7"/>
      <c r="K504" s="7"/>
      <c r="L504" s="7"/>
    </row>
    <row r="505" spans="1:12" ht="13" customHeight="1" x14ac:dyDescent="0.15">
      <c r="A505" s="48"/>
      <c r="B505" s="7"/>
      <c r="C505" s="5"/>
      <c r="D505" s="5"/>
      <c r="E505" s="5"/>
      <c r="F505" s="5"/>
      <c r="G505" s="7"/>
      <c r="H505" s="7"/>
      <c r="I505" s="7"/>
      <c r="J505" s="7"/>
      <c r="K505" s="7"/>
      <c r="L505" s="7"/>
    </row>
    <row r="506" spans="1:12" ht="13" customHeight="1" x14ac:dyDescent="0.15">
      <c r="A506" s="48"/>
      <c r="B506" s="7"/>
      <c r="C506" s="5"/>
      <c r="D506" s="5"/>
      <c r="E506" s="5"/>
      <c r="F506" s="5"/>
      <c r="G506" s="7"/>
      <c r="H506" s="7"/>
      <c r="I506" s="7"/>
      <c r="J506" s="7"/>
      <c r="K506" s="7"/>
      <c r="L506" s="7"/>
    </row>
    <row r="507" spans="1:12" ht="13" customHeight="1" x14ac:dyDescent="0.15">
      <c r="A507" s="48"/>
      <c r="B507" s="7"/>
      <c r="C507" s="5"/>
      <c r="D507" s="5"/>
      <c r="E507" s="5"/>
      <c r="F507" s="5"/>
      <c r="G507" s="7"/>
      <c r="H507" s="7"/>
      <c r="I507" s="7"/>
      <c r="J507" s="7"/>
      <c r="K507" s="7"/>
      <c r="L507" s="7"/>
    </row>
    <row r="508" spans="1:12" ht="13" customHeight="1" x14ac:dyDescent="0.15">
      <c r="A508" s="48"/>
      <c r="B508" s="7"/>
      <c r="C508" s="5"/>
      <c r="D508" s="5"/>
      <c r="E508" s="5"/>
      <c r="F508" s="5"/>
      <c r="G508" s="7"/>
      <c r="H508" s="7"/>
      <c r="I508" s="7"/>
      <c r="J508" s="7"/>
      <c r="K508" s="7"/>
      <c r="L508" s="7"/>
    </row>
    <row r="509" spans="1:12" ht="13" customHeight="1" x14ac:dyDescent="0.15">
      <c r="A509" s="48"/>
      <c r="B509" s="7"/>
      <c r="C509" s="5"/>
      <c r="D509" s="5"/>
      <c r="E509" s="5"/>
      <c r="F509" s="5"/>
      <c r="G509" s="7"/>
      <c r="H509" s="7"/>
      <c r="I509" s="7"/>
      <c r="J509" s="7"/>
      <c r="K509" s="7"/>
      <c r="L509" s="7"/>
    </row>
    <row r="510" spans="1:12" ht="13" customHeight="1" x14ac:dyDescent="0.15">
      <c r="A510" s="48"/>
      <c r="B510" s="7"/>
      <c r="C510" s="5"/>
      <c r="D510" s="5"/>
      <c r="E510" s="5"/>
      <c r="F510" s="5"/>
      <c r="G510" s="7"/>
      <c r="H510" s="7"/>
      <c r="I510" s="7"/>
      <c r="J510" s="7"/>
      <c r="K510" s="7"/>
      <c r="L510" s="7"/>
    </row>
    <row r="511" spans="1:12" ht="13" customHeight="1" x14ac:dyDescent="0.15">
      <c r="A511" s="48"/>
      <c r="B511" s="7"/>
      <c r="C511" s="5"/>
      <c r="D511" s="5"/>
      <c r="E511" s="5"/>
      <c r="F511" s="5"/>
      <c r="G511" s="7"/>
      <c r="H511" s="7"/>
      <c r="I511" s="7"/>
      <c r="J511" s="7"/>
      <c r="K511" s="7"/>
      <c r="L511" s="7"/>
    </row>
    <row r="512" spans="1:12" ht="13" customHeight="1" x14ac:dyDescent="0.15">
      <c r="A512" s="48"/>
      <c r="B512" s="7"/>
      <c r="C512" s="5"/>
      <c r="D512" s="5"/>
      <c r="E512" s="5"/>
      <c r="F512" s="5"/>
      <c r="G512" s="7"/>
      <c r="H512" s="7"/>
      <c r="I512" s="7"/>
      <c r="J512" s="7"/>
      <c r="K512" s="7"/>
      <c r="L512" s="7"/>
    </row>
    <row r="513" spans="1:12" ht="13" customHeight="1" x14ac:dyDescent="0.15">
      <c r="A513" s="48"/>
      <c r="B513" s="7"/>
      <c r="C513" s="5"/>
      <c r="D513" s="5"/>
      <c r="E513" s="5"/>
      <c r="F513" s="5"/>
      <c r="G513" s="7"/>
      <c r="H513" s="7"/>
      <c r="I513" s="7"/>
      <c r="J513" s="7"/>
      <c r="K513" s="7"/>
      <c r="L513" s="7"/>
    </row>
    <row r="514" spans="1:12" ht="13" customHeight="1" x14ac:dyDescent="0.15">
      <c r="A514" s="48"/>
      <c r="B514" s="7"/>
      <c r="C514" s="5"/>
      <c r="D514" s="5"/>
      <c r="E514" s="5"/>
      <c r="F514" s="5"/>
      <c r="G514" s="7"/>
      <c r="H514" s="7"/>
      <c r="I514" s="7"/>
      <c r="J514" s="7"/>
      <c r="K514" s="7"/>
      <c r="L514" s="7"/>
    </row>
    <row r="515" spans="1:12" ht="13" customHeight="1" x14ac:dyDescent="0.15">
      <c r="A515" s="48"/>
      <c r="B515" s="7"/>
      <c r="C515" s="5"/>
      <c r="D515" s="5"/>
      <c r="E515" s="5"/>
      <c r="F515" s="5"/>
      <c r="G515" s="7"/>
      <c r="H515" s="7"/>
      <c r="I515" s="7"/>
      <c r="J515" s="7"/>
      <c r="K515" s="7"/>
      <c r="L515" s="7"/>
    </row>
    <row r="516" spans="1:12" ht="13" customHeight="1" x14ac:dyDescent="0.15">
      <c r="A516" s="48"/>
      <c r="B516" s="7"/>
      <c r="C516" s="5"/>
      <c r="D516" s="5"/>
      <c r="E516" s="5"/>
      <c r="F516" s="5"/>
      <c r="G516" s="7"/>
      <c r="H516" s="7"/>
      <c r="I516" s="7"/>
      <c r="J516" s="7"/>
      <c r="K516" s="7"/>
      <c r="L516" s="7"/>
    </row>
    <row r="517" spans="1:12" ht="13" customHeight="1" x14ac:dyDescent="0.15">
      <c r="A517" s="48"/>
      <c r="B517" s="7"/>
      <c r="C517" s="5"/>
      <c r="D517" s="5"/>
      <c r="E517" s="5"/>
      <c r="F517" s="5"/>
      <c r="G517" s="7"/>
      <c r="H517" s="7"/>
      <c r="I517" s="7"/>
      <c r="J517" s="7"/>
      <c r="K517" s="7"/>
      <c r="L517" s="7"/>
    </row>
    <row r="518" spans="1:12" ht="13" customHeight="1" x14ac:dyDescent="0.15">
      <c r="A518" s="48"/>
      <c r="B518" s="7"/>
      <c r="C518" s="5"/>
      <c r="D518" s="5"/>
      <c r="E518" s="5"/>
      <c r="F518" s="5"/>
      <c r="G518" s="7"/>
      <c r="H518" s="7"/>
      <c r="I518" s="7"/>
      <c r="J518" s="7"/>
      <c r="K518" s="7"/>
      <c r="L518" s="7"/>
    </row>
    <row r="519" spans="1:12" ht="13" customHeight="1" x14ac:dyDescent="0.15">
      <c r="A519" s="48"/>
      <c r="B519" s="7"/>
      <c r="C519" s="5"/>
      <c r="D519" s="5"/>
      <c r="E519" s="5"/>
      <c r="F519" s="5"/>
      <c r="G519" s="7"/>
      <c r="H519" s="7"/>
      <c r="I519" s="7"/>
      <c r="J519" s="7"/>
      <c r="K519" s="7"/>
      <c r="L519" s="7"/>
    </row>
    <row r="520" spans="1:12" ht="13" customHeight="1" x14ac:dyDescent="0.15">
      <c r="A520" s="48"/>
      <c r="B520" s="7"/>
      <c r="C520" s="5"/>
      <c r="D520" s="5"/>
      <c r="E520" s="5"/>
      <c r="F520" s="5"/>
      <c r="G520" s="7"/>
      <c r="H520" s="7"/>
      <c r="I520" s="7"/>
      <c r="J520" s="7"/>
      <c r="K520" s="7"/>
      <c r="L520" s="7"/>
    </row>
    <row r="521" spans="1:12" ht="13" customHeight="1" x14ac:dyDescent="0.15">
      <c r="A521" s="48"/>
      <c r="B521" s="7"/>
      <c r="C521" s="5"/>
      <c r="D521" s="5"/>
      <c r="E521" s="5"/>
      <c r="F521" s="5"/>
      <c r="G521" s="7"/>
      <c r="H521" s="7"/>
      <c r="I521" s="7"/>
      <c r="J521" s="7"/>
      <c r="K521" s="7"/>
      <c r="L521" s="7"/>
    </row>
    <row r="522" spans="1:12" ht="13" customHeight="1" x14ac:dyDescent="0.15">
      <c r="A522" s="48"/>
      <c r="B522" s="7"/>
      <c r="C522" s="5"/>
      <c r="D522" s="5"/>
      <c r="E522" s="5"/>
      <c r="F522" s="5"/>
      <c r="G522" s="7"/>
      <c r="H522" s="7"/>
      <c r="I522" s="7"/>
      <c r="J522" s="7"/>
      <c r="K522" s="7"/>
      <c r="L522" s="7"/>
    </row>
    <row r="523" spans="1:12" ht="13" customHeight="1" x14ac:dyDescent="0.15">
      <c r="A523" s="48"/>
      <c r="B523" s="7"/>
      <c r="C523" s="5"/>
      <c r="D523" s="5"/>
      <c r="E523" s="5"/>
      <c r="F523" s="5"/>
      <c r="G523" s="7"/>
      <c r="H523" s="7"/>
      <c r="I523" s="7"/>
      <c r="J523" s="7"/>
      <c r="K523" s="7"/>
      <c r="L523" s="7"/>
    </row>
    <row r="524" spans="1:12" ht="13" customHeight="1" x14ac:dyDescent="0.15">
      <c r="A524" s="48"/>
      <c r="B524" s="7"/>
      <c r="C524" s="5"/>
      <c r="D524" s="5"/>
      <c r="E524" s="5"/>
      <c r="F524" s="5"/>
      <c r="G524" s="7"/>
      <c r="H524" s="7"/>
      <c r="I524" s="7"/>
      <c r="J524" s="7"/>
      <c r="K524" s="7"/>
      <c r="L524" s="7"/>
    </row>
    <row r="525" spans="1:12" ht="13" customHeight="1" x14ac:dyDescent="0.15">
      <c r="A525" s="48"/>
      <c r="B525" s="7"/>
      <c r="C525" s="5"/>
      <c r="D525" s="5"/>
      <c r="E525" s="5"/>
      <c r="F525" s="5"/>
      <c r="G525" s="7"/>
      <c r="H525" s="7"/>
      <c r="I525" s="7"/>
      <c r="J525" s="7"/>
      <c r="K525" s="7"/>
      <c r="L525" s="7"/>
    </row>
    <row r="526" spans="1:12" ht="13" customHeight="1" x14ac:dyDescent="0.15">
      <c r="A526" s="48"/>
      <c r="B526" s="7"/>
      <c r="C526" s="5"/>
      <c r="D526" s="5"/>
      <c r="E526" s="5"/>
      <c r="F526" s="5"/>
      <c r="G526" s="7"/>
      <c r="H526" s="7"/>
      <c r="I526" s="7"/>
      <c r="J526" s="7"/>
      <c r="K526" s="7"/>
      <c r="L526" s="7"/>
    </row>
    <row r="527" spans="1:12" ht="13" customHeight="1" x14ac:dyDescent="0.15">
      <c r="A527" s="48"/>
      <c r="B527" s="7"/>
      <c r="C527" s="5"/>
      <c r="D527" s="5"/>
      <c r="E527" s="5"/>
      <c r="F527" s="5"/>
      <c r="G527" s="7"/>
      <c r="H527" s="7"/>
      <c r="I527" s="7"/>
      <c r="J527" s="7"/>
      <c r="K527" s="7"/>
      <c r="L527" s="7"/>
    </row>
    <row r="528" spans="1:12" ht="13" customHeight="1" x14ac:dyDescent="0.15">
      <c r="A528" s="48"/>
      <c r="B528" s="7"/>
      <c r="C528" s="5"/>
      <c r="D528" s="5"/>
      <c r="E528" s="5"/>
      <c r="F528" s="5"/>
      <c r="G528" s="7"/>
      <c r="H528" s="7"/>
      <c r="I528" s="7"/>
      <c r="J528" s="7"/>
      <c r="K528" s="7"/>
      <c r="L528" s="7"/>
    </row>
    <row r="529" spans="1:12" ht="13" customHeight="1" x14ac:dyDescent="0.15">
      <c r="A529" s="48"/>
      <c r="B529" s="7"/>
      <c r="C529" s="5"/>
      <c r="D529" s="5"/>
      <c r="E529" s="5"/>
      <c r="F529" s="5"/>
      <c r="G529" s="7"/>
      <c r="H529" s="7"/>
      <c r="I529" s="7"/>
      <c r="J529" s="7"/>
      <c r="K529" s="7"/>
      <c r="L529" s="7"/>
    </row>
    <row r="530" spans="1:12" ht="13" customHeight="1" x14ac:dyDescent="0.15">
      <c r="A530" s="48"/>
      <c r="B530" s="7"/>
      <c r="C530" s="5"/>
      <c r="D530" s="5"/>
      <c r="E530" s="5"/>
      <c r="F530" s="5"/>
      <c r="G530" s="7"/>
      <c r="H530" s="7"/>
      <c r="I530" s="7"/>
      <c r="J530" s="7"/>
      <c r="K530" s="7"/>
      <c r="L530" s="7"/>
    </row>
    <row r="531" spans="1:12" ht="13" customHeight="1" x14ac:dyDescent="0.15">
      <c r="A531" s="48"/>
      <c r="B531" s="7"/>
      <c r="C531" s="5"/>
      <c r="D531" s="5"/>
      <c r="E531" s="5"/>
      <c r="F531" s="5"/>
      <c r="G531" s="7"/>
      <c r="H531" s="7"/>
      <c r="I531" s="7"/>
      <c r="J531" s="7"/>
      <c r="K531" s="7"/>
      <c r="L531" s="7"/>
    </row>
    <row r="532" spans="1:12" ht="13" customHeight="1" x14ac:dyDescent="0.15">
      <c r="A532" s="48"/>
      <c r="B532" s="7"/>
      <c r="C532" s="5"/>
      <c r="D532" s="5"/>
      <c r="E532" s="5"/>
      <c r="F532" s="5"/>
      <c r="G532" s="7"/>
      <c r="H532" s="7"/>
      <c r="I532" s="7"/>
      <c r="J532" s="7"/>
      <c r="K532" s="7"/>
      <c r="L532" s="7"/>
    </row>
    <row r="533" spans="1:12" ht="13" customHeight="1" x14ac:dyDescent="0.15">
      <c r="A533" s="48"/>
      <c r="B533" s="7"/>
      <c r="C533" s="5"/>
      <c r="D533" s="5"/>
      <c r="E533" s="5"/>
      <c r="F533" s="5"/>
      <c r="G533" s="7"/>
      <c r="H533" s="7"/>
      <c r="I533" s="7"/>
      <c r="J533" s="7"/>
      <c r="K533" s="7"/>
      <c r="L533" s="7"/>
    </row>
    <row r="534" spans="1:12" ht="13" customHeight="1" x14ac:dyDescent="0.15">
      <c r="A534" s="48"/>
      <c r="B534" s="7"/>
      <c r="C534" s="5"/>
      <c r="D534" s="5"/>
      <c r="E534" s="5"/>
      <c r="F534" s="5"/>
      <c r="G534" s="7"/>
      <c r="H534" s="7"/>
      <c r="I534" s="7"/>
      <c r="J534" s="7"/>
      <c r="K534" s="7"/>
      <c r="L534" s="7"/>
    </row>
    <row r="535" spans="1:12" ht="13" customHeight="1" x14ac:dyDescent="0.15">
      <c r="A535" s="48"/>
      <c r="B535" s="7"/>
      <c r="C535" s="5"/>
      <c r="D535" s="5"/>
      <c r="E535" s="5"/>
      <c r="F535" s="5"/>
      <c r="G535" s="7"/>
      <c r="H535" s="7"/>
      <c r="I535" s="7"/>
      <c r="J535" s="7"/>
      <c r="K535" s="7"/>
      <c r="L535" s="7"/>
    </row>
    <row r="536" spans="1:12" ht="13" customHeight="1" x14ac:dyDescent="0.15">
      <c r="A536" s="48"/>
      <c r="B536" s="7"/>
      <c r="C536" s="5"/>
      <c r="D536" s="5"/>
      <c r="E536" s="5"/>
      <c r="F536" s="5"/>
      <c r="G536" s="7"/>
      <c r="H536" s="7"/>
      <c r="I536" s="7"/>
      <c r="J536" s="7"/>
      <c r="K536" s="7"/>
      <c r="L536" s="7"/>
    </row>
    <row r="537" spans="1:12" ht="13" customHeight="1" x14ac:dyDescent="0.15">
      <c r="A537" s="48"/>
      <c r="B537" s="7"/>
      <c r="C537" s="5"/>
      <c r="D537" s="5"/>
      <c r="E537" s="5"/>
      <c r="F537" s="5"/>
      <c r="G537" s="7"/>
      <c r="H537" s="7"/>
      <c r="I537" s="7"/>
      <c r="J537" s="7"/>
      <c r="K537" s="7"/>
      <c r="L537" s="7"/>
    </row>
    <row r="538" spans="1:12" ht="13" customHeight="1" x14ac:dyDescent="0.15">
      <c r="A538" s="48"/>
      <c r="B538" s="7"/>
      <c r="C538" s="5"/>
      <c r="D538" s="5"/>
      <c r="E538" s="5"/>
      <c r="F538" s="5"/>
      <c r="G538" s="7"/>
      <c r="H538" s="7"/>
      <c r="I538" s="7"/>
      <c r="J538" s="7"/>
      <c r="K538" s="7"/>
      <c r="L538" s="7"/>
    </row>
    <row r="539" spans="1:12" ht="13" customHeight="1" x14ac:dyDescent="0.15">
      <c r="A539" s="48"/>
      <c r="B539" s="7"/>
      <c r="C539" s="5"/>
      <c r="D539" s="5"/>
      <c r="E539" s="5"/>
      <c r="F539" s="5"/>
      <c r="G539" s="7"/>
      <c r="H539" s="7"/>
      <c r="I539" s="7"/>
      <c r="J539" s="7"/>
      <c r="K539" s="7"/>
      <c r="L539" s="7"/>
    </row>
    <row r="540" spans="1:12" ht="13" customHeight="1" x14ac:dyDescent="0.15">
      <c r="A540" s="48"/>
      <c r="B540" s="7"/>
      <c r="C540" s="5"/>
      <c r="D540" s="5"/>
      <c r="E540" s="5"/>
      <c r="F540" s="5"/>
      <c r="G540" s="7"/>
      <c r="H540" s="7"/>
      <c r="I540" s="7"/>
      <c r="J540" s="7"/>
      <c r="K540" s="7"/>
      <c r="L540" s="7"/>
    </row>
    <row r="541" spans="1:12" ht="13" customHeight="1" x14ac:dyDescent="0.15">
      <c r="A541" s="48"/>
      <c r="B541" s="7"/>
      <c r="C541" s="5"/>
      <c r="D541" s="5"/>
      <c r="E541" s="5"/>
      <c r="F541" s="5"/>
      <c r="G541" s="7"/>
      <c r="H541" s="7"/>
      <c r="I541" s="7"/>
      <c r="J541" s="7"/>
      <c r="K541" s="7"/>
      <c r="L541" s="7"/>
    </row>
    <row r="542" spans="1:12" ht="13" customHeight="1" x14ac:dyDescent="0.15">
      <c r="A542" s="48"/>
      <c r="B542" s="7"/>
      <c r="C542" s="5"/>
      <c r="D542" s="5"/>
      <c r="E542" s="5"/>
      <c r="F542" s="5"/>
      <c r="G542" s="7"/>
      <c r="H542" s="7"/>
      <c r="I542" s="7"/>
      <c r="J542" s="7"/>
      <c r="K542" s="7"/>
      <c r="L542" s="7"/>
    </row>
    <row r="543" spans="1:12" ht="13" customHeight="1" x14ac:dyDescent="0.15">
      <c r="A543" s="48"/>
      <c r="B543" s="7"/>
      <c r="C543" s="5"/>
      <c r="D543" s="5"/>
      <c r="E543" s="5"/>
      <c r="F543" s="5"/>
      <c r="G543" s="7"/>
      <c r="H543" s="7"/>
      <c r="I543" s="7"/>
      <c r="J543" s="7"/>
      <c r="K543" s="7"/>
      <c r="L543" s="7"/>
    </row>
    <row r="544" spans="1:12" ht="13" customHeight="1" x14ac:dyDescent="0.15">
      <c r="A544" s="48"/>
      <c r="B544" s="7"/>
      <c r="C544" s="5"/>
      <c r="D544" s="5"/>
      <c r="E544" s="5"/>
      <c r="F544" s="5"/>
      <c r="G544" s="7"/>
      <c r="H544" s="7"/>
      <c r="I544" s="7"/>
      <c r="J544" s="7"/>
      <c r="K544" s="7"/>
      <c r="L544" s="7"/>
    </row>
    <row r="545" spans="1:12" ht="13" customHeight="1" x14ac:dyDescent="0.15">
      <c r="A545" s="48"/>
      <c r="B545" s="7"/>
      <c r="C545" s="5"/>
      <c r="D545" s="5"/>
      <c r="E545" s="5"/>
      <c r="F545" s="5"/>
      <c r="G545" s="7"/>
      <c r="H545" s="7"/>
      <c r="I545" s="7"/>
      <c r="J545" s="7"/>
      <c r="K545" s="7"/>
      <c r="L545" s="7"/>
    </row>
    <row r="546" spans="1:12" ht="13" customHeight="1" x14ac:dyDescent="0.15">
      <c r="A546" s="48"/>
      <c r="B546" s="7"/>
      <c r="C546" s="5"/>
      <c r="D546" s="5"/>
      <c r="E546" s="5"/>
      <c r="F546" s="5"/>
      <c r="G546" s="7"/>
      <c r="H546" s="7"/>
      <c r="I546" s="7"/>
      <c r="J546" s="7"/>
      <c r="K546" s="7"/>
      <c r="L546" s="7"/>
    </row>
    <row r="547" spans="1:12" ht="13" customHeight="1" x14ac:dyDescent="0.15">
      <c r="A547" s="48"/>
      <c r="B547" s="7"/>
      <c r="C547" s="5"/>
      <c r="D547" s="5"/>
      <c r="E547" s="5"/>
      <c r="F547" s="5"/>
      <c r="G547" s="7"/>
      <c r="H547" s="7"/>
      <c r="I547" s="7"/>
      <c r="J547" s="7"/>
      <c r="K547" s="7"/>
      <c r="L547" s="7"/>
    </row>
    <row r="548" spans="1:12" ht="13" customHeight="1" x14ac:dyDescent="0.15">
      <c r="A548" s="48"/>
      <c r="B548" s="7"/>
      <c r="C548" s="5"/>
      <c r="D548" s="5"/>
      <c r="E548" s="5"/>
      <c r="F548" s="5"/>
      <c r="G548" s="7"/>
      <c r="H548" s="7"/>
      <c r="I548" s="7"/>
      <c r="J548" s="7"/>
      <c r="K548" s="7"/>
      <c r="L548" s="7"/>
    </row>
    <row r="549" spans="1:12" ht="13" customHeight="1" x14ac:dyDescent="0.15">
      <c r="A549" s="48"/>
      <c r="B549" s="7"/>
      <c r="C549" s="5"/>
      <c r="D549" s="5"/>
      <c r="E549" s="5"/>
      <c r="F549" s="5"/>
      <c r="G549" s="7"/>
      <c r="H549" s="7"/>
      <c r="I549" s="7"/>
      <c r="J549" s="7"/>
      <c r="K549" s="7"/>
      <c r="L549" s="7"/>
    </row>
    <row r="550" spans="1:12" ht="13" customHeight="1" x14ac:dyDescent="0.15">
      <c r="A550" s="48"/>
      <c r="B550" s="7"/>
      <c r="C550" s="5"/>
      <c r="D550" s="5"/>
      <c r="E550" s="5"/>
      <c r="F550" s="5"/>
      <c r="G550" s="7"/>
      <c r="H550" s="7"/>
      <c r="I550" s="7"/>
      <c r="J550" s="7"/>
      <c r="K550" s="7"/>
      <c r="L550" s="7"/>
    </row>
    <row r="551" spans="1:12" ht="13" customHeight="1" x14ac:dyDescent="0.15">
      <c r="A551" s="48"/>
      <c r="B551" s="7"/>
      <c r="C551" s="5"/>
      <c r="D551" s="5"/>
      <c r="E551" s="5"/>
      <c r="F551" s="5"/>
      <c r="G551" s="7"/>
      <c r="H551" s="7"/>
      <c r="I551" s="7"/>
      <c r="J551" s="7"/>
      <c r="K551" s="7"/>
      <c r="L551" s="7"/>
    </row>
    <row r="552" spans="1:12" ht="13" customHeight="1" x14ac:dyDescent="0.15">
      <c r="A552" s="48"/>
      <c r="B552" s="7"/>
      <c r="C552" s="5"/>
      <c r="D552" s="5"/>
      <c r="E552" s="5"/>
      <c r="F552" s="5"/>
      <c r="G552" s="7"/>
      <c r="H552" s="7"/>
      <c r="I552" s="7"/>
      <c r="J552" s="7"/>
      <c r="K552" s="7"/>
      <c r="L552" s="7"/>
    </row>
    <row r="553" spans="1:12" ht="13" customHeight="1" x14ac:dyDescent="0.15">
      <c r="A553" s="48"/>
      <c r="B553" s="7"/>
      <c r="C553" s="5"/>
      <c r="D553" s="5"/>
      <c r="E553" s="5"/>
      <c r="F553" s="5"/>
      <c r="G553" s="7"/>
      <c r="H553" s="7"/>
      <c r="I553" s="7"/>
      <c r="J553" s="7"/>
      <c r="K553" s="7"/>
      <c r="L553" s="7"/>
    </row>
    <row r="554" spans="1:12" ht="13" customHeight="1" x14ac:dyDescent="0.15">
      <c r="A554" s="48"/>
      <c r="B554" s="7"/>
      <c r="C554" s="5"/>
      <c r="D554" s="5"/>
      <c r="E554" s="5"/>
      <c r="F554" s="5"/>
      <c r="G554" s="7"/>
      <c r="H554" s="7"/>
      <c r="I554" s="7"/>
      <c r="J554" s="7"/>
      <c r="K554" s="7"/>
      <c r="L554" s="7"/>
    </row>
    <row r="555" spans="1:12" ht="13" customHeight="1" x14ac:dyDescent="0.15">
      <c r="A555" s="48"/>
      <c r="B555" s="7"/>
      <c r="C555" s="5"/>
      <c r="D555" s="5"/>
      <c r="E555" s="5"/>
      <c r="F555" s="5"/>
      <c r="G555" s="7"/>
      <c r="H555" s="7"/>
      <c r="I555" s="7"/>
      <c r="J555" s="7"/>
      <c r="K555" s="7"/>
      <c r="L555" s="7"/>
    </row>
    <row r="556" spans="1:12" ht="13" customHeight="1" x14ac:dyDescent="0.15">
      <c r="A556" s="48"/>
      <c r="B556" s="7"/>
      <c r="C556" s="5"/>
      <c r="D556" s="5"/>
      <c r="E556" s="5"/>
      <c r="F556" s="5"/>
      <c r="G556" s="7"/>
      <c r="H556" s="7"/>
      <c r="I556" s="7"/>
      <c r="J556" s="7"/>
      <c r="K556" s="7"/>
      <c r="L556" s="7"/>
    </row>
    <row r="557" spans="1:12" ht="13" customHeight="1" x14ac:dyDescent="0.15">
      <c r="A557" s="48"/>
      <c r="B557" s="7"/>
      <c r="C557" s="5"/>
      <c r="D557" s="5"/>
      <c r="E557" s="5"/>
      <c r="F557" s="5"/>
      <c r="G557" s="7"/>
      <c r="H557" s="7"/>
      <c r="I557" s="7"/>
      <c r="J557" s="7"/>
      <c r="K557" s="7"/>
      <c r="L557" s="7"/>
    </row>
    <row r="558" spans="1:12" ht="13" customHeight="1" x14ac:dyDescent="0.15">
      <c r="A558" s="48"/>
      <c r="B558" s="7"/>
      <c r="C558" s="5"/>
      <c r="D558" s="5"/>
      <c r="E558" s="5"/>
      <c r="F558" s="5"/>
      <c r="G558" s="7"/>
      <c r="H558" s="7"/>
      <c r="I558" s="7"/>
      <c r="J558" s="7"/>
      <c r="K558" s="7"/>
      <c r="L558" s="7"/>
    </row>
    <row r="559" spans="1:12" ht="13" customHeight="1" x14ac:dyDescent="0.15">
      <c r="A559" s="48"/>
      <c r="B559" s="7"/>
      <c r="C559" s="5"/>
      <c r="D559" s="5"/>
      <c r="E559" s="5"/>
      <c r="F559" s="5"/>
      <c r="G559" s="7"/>
      <c r="H559" s="7"/>
      <c r="I559" s="7"/>
      <c r="J559" s="7"/>
      <c r="K559" s="7"/>
      <c r="L559" s="7"/>
    </row>
    <row r="560" spans="1:12" ht="13" customHeight="1" x14ac:dyDescent="0.15">
      <c r="A560" s="48"/>
      <c r="B560" s="7"/>
      <c r="C560" s="5"/>
      <c r="D560" s="5"/>
      <c r="E560" s="5"/>
      <c r="F560" s="5"/>
      <c r="G560" s="7"/>
      <c r="H560" s="7"/>
      <c r="I560" s="7"/>
      <c r="J560" s="7"/>
      <c r="K560" s="7"/>
      <c r="L560" s="7"/>
    </row>
    <row r="561" spans="1:12" ht="13" customHeight="1" x14ac:dyDescent="0.15">
      <c r="A561" s="48"/>
      <c r="B561" s="7"/>
      <c r="C561" s="5"/>
      <c r="D561" s="5"/>
      <c r="E561" s="5"/>
      <c r="F561" s="5"/>
      <c r="G561" s="7"/>
      <c r="H561" s="7"/>
      <c r="I561" s="7"/>
      <c r="J561" s="7"/>
      <c r="K561" s="7"/>
      <c r="L561" s="7"/>
    </row>
    <row r="562" spans="1:12" ht="13" customHeight="1" x14ac:dyDescent="0.15">
      <c r="A562" s="48"/>
      <c r="B562" s="7"/>
      <c r="C562" s="5"/>
      <c r="D562" s="5"/>
      <c r="E562" s="5"/>
      <c r="F562" s="5"/>
      <c r="G562" s="7"/>
      <c r="H562" s="7"/>
      <c r="I562" s="7"/>
      <c r="J562" s="7"/>
      <c r="K562" s="7"/>
      <c r="L562" s="7"/>
    </row>
    <row r="563" spans="1:12" ht="13" customHeight="1" x14ac:dyDescent="0.15">
      <c r="A563" s="48"/>
      <c r="B563" s="7"/>
      <c r="C563" s="5"/>
      <c r="D563" s="5"/>
      <c r="E563" s="5"/>
      <c r="F563" s="5"/>
      <c r="G563" s="7"/>
      <c r="H563" s="7"/>
      <c r="I563" s="7"/>
      <c r="J563" s="7"/>
      <c r="K563" s="7"/>
      <c r="L563" s="7"/>
    </row>
    <row r="564" spans="1:12" ht="13" customHeight="1" x14ac:dyDescent="0.15">
      <c r="A564" s="48"/>
      <c r="B564" s="7"/>
      <c r="C564" s="5"/>
      <c r="D564" s="5"/>
      <c r="E564" s="5"/>
      <c r="F564" s="5"/>
      <c r="G564" s="7"/>
      <c r="H564" s="7"/>
      <c r="I564" s="7"/>
      <c r="J564" s="7"/>
      <c r="K564" s="7"/>
      <c r="L564" s="7"/>
    </row>
    <row r="565" spans="1:12" ht="13" customHeight="1" x14ac:dyDescent="0.15">
      <c r="A565" s="48"/>
      <c r="B565" s="7"/>
      <c r="C565" s="5"/>
      <c r="D565" s="5"/>
      <c r="E565" s="5"/>
      <c r="F565" s="5"/>
      <c r="G565" s="7"/>
      <c r="H565" s="7"/>
      <c r="I565" s="7"/>
      <c r="J565" s="7"/>
      <c r="K565" s="7"/>
      <c r="L565" s="7"/>
    </row>
    <row r="566" spans="1:12" ht="13" customHeight="1" x14ac:dyDescent="0.15">
      <c r="A566" s="48"/>
      <c r="B566" s="7"/>
      <c r="C566" s="5"/>
      <c r="D566" s="5"/>
      <c r="E566" s="5"/>
      <c r="F566" s="5"/>
      <c r="G566" s="7"/>
      <c r="H566" s="7"/>
      <c r="I566" s="7"/>
      <c r="J566" s="7"/>
      <c r="K566" s="7"/>
      <c r="L566" s="7"/>
    </row>
    <row r="567" spans="1:12" ht="13" customHeight="1" x14ac:dyDescent="0.15">
      <c r="A567" s="48"/>
      <c r="B567" s="7"/>
      <c r="C567" s="5"/>
      <c r="D567" s="5"/>
      <c r="E567" s="5"/>
      <c r="F567" s="5"/>
      <c r="G567" s="7"/>
      <c r="H567" s="7"/>
      <c r="I567" s="7"/>
      <c r="J567" s="7"/>
      <c r="K567" s="7"/>
      <c r="L567" s="7"/>
    </row>
    <row r="568" spans="1:12" ht="13" customHeight="1" x14ac:dyDescent="0.15">
      <c r="A568" s="48"/>
      <c r="B568" s="7"/>
      <c r="C568" s="5"/>
      <c r="D568" s="5"/>
      <c r="E568" s="5"/>
      <c r="F568" s="5"/>
      <c r="G568" s="7"/>
      <c r="H568" s="7"/>
      <c r="I568" s="7"/>
      <c r="J568" s="7"/>
      <c r="K568" s="7"/>
      <c r="L568" s="7"/>
    </row>
    <row r="569" spans="1:12" ht="13" customHeight="1" x14ac:dyDescent="0.15">
      <c r="A569" s="48"/>
      <c r="B569" s="7"/>
      <c r="C569" s="5"/>
      <c r="D569" s="5"/>
      <c r="E569" s="5"/>
      <c r="F569" s="5"/>
      <c r="G569" s="7"/>
      <c r="H569" s="7"/>
      <c r="I569" s="7"/>
      <c r="J569" s="7"/>
      <c r="K569" s="7"/>
      <c r="L569" s="7"/>
    </row>
    <row r="570" spans="1:12" ht="13" customHeight="1" x14ac:dyDescent="0.15">
      <c r="A570" s="48"/>
      <c r="B570" s="7"/>
      <c r="C570" s="5"/>
      <c r="D570" s="5"/>
      <c r="E570" s="5"/>
      <c r="F570" s="5"/>
      <c r="G570" s="7"/>
      <c r="H570" s="7"/>
      <c r="I570" s="7"/>
      <c r="J570" s="7"/>
      <c r="K570" s="7"/>
      <c r="L570" s="7"/>
    </row>
    <row r="571" spans="1:12" ht="13" customHeight="1" x14ac:dyDescent="0.15">
      <c r="A571" s="48"/>
      <c r="B571" s="7"/>
      <c r="C571" s="5"/>
      <c r="D571" s="5"/>
      <c r="E571" s="5"/>
      <c r="F571" s="5"/>
      <c r="G571" s="7"/>
      <c r="H571" s="7"/>
      <c r="I571" s="7"/>
      <c r="J571" s="7"/>
      <c r="K571" s="7"/>
      <c r="L571" s="7"/>
    </row>
    <row r="572" spans="1:12" ht="13" customHeight="1" x14ac:dyDescent="0.15">
      <c r="A572" s="48"/>
      <c r="B572" s="7"/>
      <c r="C572" s="5"/>
      <c r="D572" s="5"/>
      <c r="E572" s="5"/>
      <c r="F572" s="5"/>
      <c r="G572" s="7"/>
      <c r="H572" s="7"/>
      <c r="I572" s="7"/>
      <c r="J572" s="7"/>
      <c r="K572" s="7"/>
      <c r="L572" s="7"/>
    </row>
    <row r="573" spans="1:12" ht="13" customHeight="1" x14ac:dyDescent="0.15">
      <c r="A573" s="48"/>
      <c r="B573" s="7"/>
      <c r="C573" s="5"/>
      <c r="D573" s="5"/>
      <c r="E573" s="5"/>
      <c r="F573" s="5"/>
      <c r="G573" s="7"/>
      <c r="H573" s="7"/>
      <c r="I573" s="7"/>
      <c r="J573" s="7"/>
      <c r="K573" s="7"/>
      <c r="L573" s="7"/>
    </row>
    <row r="574" spans="1:12" ht="13" customHeight="1" x14ac:dyDescent="0.15">
      <c r="A574" s="48"/>
      <c r="B574" s="7"/>
      <c r="C574" s="5"/>
      <c r="D574" s="5"/>
      <c r="E574" s="5"/>
      <c r="F574" s="5"/>
      <c r="G574" s="7"/>
      <c r="H574" s="7"/>
      <c r="I574" s="7"/>
      <c r="J574" s="7"/>
      <c r="K574" s="7"/>
      <c r="L574" s="7"/>
    </row>
    <row r="575" spans="1:12" ht="13" customHeight="1" x14ac:dyDescent="0.15">
      <c r="A575" s="48"/>
      <c r="B575" s="7"/>
      <c r="C575" s="5"/>
      <c r="D575" s="5"/>
      <c r="E575" s="5"/>
      <c r="F575" s="5"/>
      <c r="G575" s="7"/>
      <c r="H575" s="7"/>
      <c r="I575" s="7"/>
      <c r="J575" s="7"/>
      <c r="K575" s="7"/>
      <c r="L575" s="7"/>
    </row>
    <row r="576" spans="1:12" ht="13" customHeight="1" x14ac:dyDescent="0.15">
      <c r="A576" s="48"/>
      <c r="B576" s="7"/>
      <c r="C576" s="5"/>
      <c r="D576" s="5"/>
      <c r="E576" s="5"/>
      <c r="F576" s="5"/>
      <c r="G576" s="7"/>
      <c r="H576" s="7"/>
      <c r="I576" s="7"/>
      <c r="J576" s="7"/>
      <c r="K576" s="7"/>
      <c r="L576" s="7"/>
    </row>
    <row r="577" spans="1:12" ht="13" customHeight="1" x14ac:dyDescent="0.15">
      <c r="A577" s="48"/>
      <c r="B577" s="7"/>
      <c r="C577" s="5"/>
      <c r="D577" s="5"/>
      <c r="E577" s="5"/>
      <c r="F577" s="5"/>
      <c r="G577" s="7"/>
      <c r="H577" s="7"/>
      <c r="I577" s="7"/>
      <c r="J577" s="7"/>
      <c r="K577" s="7"/>
      <c r="L577" s="7"/>
    </row>
    <row r="578" spans="1:12" ht="13" customHeight="1" x14ac:dyDescent="0.15">
      <c r="A578" s="48"/>
      <c r="B578" s="7"/>
      <c r="C578" s="5"/>
      <c r="D578" s="5"/>
      <c r="E578" s="5"/>
      <c r="F578" s="5"/>
      <c r="G578" s="7"/>
      <c r="H578" s="7"/>
      <c r="I578" s="7"/>
      <c r="J578" s="7"/>
      <c r="K578" s="7"/>
      <c r="L578" s="7"/>
    </row>
    <row r="579" spans="1:12" ht="13" customHeight="1" x14ac:dyDescent="0.15">
      <c r="A579" s="48"/>
      <c r="B579" s="7"/>
      <c r="C579" s="5"/>
      <c r="D579" s="5"/>
      <c r="E579" s="5"/>
      <c r="F579" s="5"/>
      <c r="G579" s="7"/>
      <c r="H579" s="7"/>
      <c r="I579" s="7"/>
      <c r="J579" s="7"/>
      <c r="K579" s="7"/>
      <c r="L579" s="7"/>
    </row>
    <row r="580" spans="1:12" ht="13" customHeight="1" x14ac:dyDescent="0.15">
      <c r="A580" s="48"/>
      <c r="B580" s="7"/>
      <c r="C580" s="5"/>
      <c r="D580" s="5"/>
      <c r="E580" s="5"/>
      <c r="F580" s="5"/>
      <c r="G580" s="7"/>
      <c r="H580" s="7"/>
      <c r="I580" s="7"/>
      <c r="J580" s="7"/>
      <c r="K580" s="7"/>
      <c r="L580" s="7"/>
    </row>
    <row r="581" spans="1:12" ht="13" customHeight="1" x14ac:dyDescent="0.15">
      <c r="A581" s="48"/>
      <c r="B581" s="7"/>
      <c r="C581" s="5"/>
      <c r="D581" s="5"/>
      <c r="E581" s="5"/>
      <c r="F581" s="5"/>
      <c r="G581" s="7"/>
      <c r="H581" s="7"/>
      <c r="I581" s="7"/>
      <c r="J581" s="7"/>
      <c r="K581" s="7"/>
      <c r="L581" s="7"/>
    </row>
    <row r="582" spans="1:12" ht="13" customHeight="1" x14ac:dyDescent="0.15">
      <c r="A582" s="48"/>
      <c r="B582" s="7"/>
      <c r="C582" s="5"/>
      <c r="D582" s="5"/>
      <c r="E582" s="5"/>
      <c r="F582" s="5"/>
      <c r="G582" s="7"/>
      <c r="H582" s="7"/>
      <c r="I582" s="7"/>
      <c r="J582" s="7"/>
      <c r="K582" s="7"/>
      <c r="L582" s="7"/>
    </row>
    <row r="583" spans="1:12" ht="13" customHeight="1" x14ac:dyDescent="0.15">
      <c r="A583" s="48"/>
      <c r="B583" s="7"/>
      <c r="C583" s="5"/>
      <c r="D583" s="5"/>
      <c r="E583" s="5"/>
      <c r="F583" s="5"/>
      <c r="G583" s="7"/>
      <c r="H583" s="7"/>
      <c r="I583" s="7"/>
      <c r="J583" s="7"/>
      <c r="K583" s="7"/>
      <c r="L583" s="7"/>
    </row>
    <row r="584" spans="1:12" ht="13" customHeight="1" x14ac:dyDescent="0.15">
      <c r="A584" s="48"/>
      <c r="B584" s="7"/>
      <c r="C584" s="5"/>
      <c r="D584" s="5"/>
      <c r="E584" s="5"/>
      <c r="F584" s="5"/>
      <c r="G584" s="7"/>
      <c r="H584" s="7"/>
      <c r="I584" s="7"/>
      <c r="J584" s="7"/>
      <c r="K584" s="7"/>
      <c r="L584" s="7"/>
    </row>
    <row r="585" spans="1:12" ht="13" customHeight="1" x14ac:dyDescent="0.15">
      <c r="A585" s="48"/>
      <c r="B585" s="7"/>
      <c r="C585" s="5"/>
      <c r="D585" s="5"/>
      <c r="E585" s="5"/>
      <c r="F585" s="5"/>
      <c r="G585" s="7"/>
      <c r="H585" s="7"/>
      <c r="I585" s="7"/>
      <c r="J585" s="7"/>
      <c r="K585" s="7"/>
      <c r="L585" s="7"/>
    </row>
    <row r="586" spans="1:12" ht="13" customHeight="1" x14ac:dyDescent="0.15">
      <c r="A586" s="48"/>
      <c r="B586" s="7"/>
      <c r="C586" s="5"/>
      <c r="D586" s="5"/>
      <c r="E586" s="5"/>
      <c r="F586" s="5"/>
      <c r="G586" s="7"/>
      <c r="H586" s="7"/>
      <c r="I586" s="7"/>
      <c r="J586" s="7"/>
      <c r="K586" s="7"/>
      <c r="L586" s="7"/>
    </row>
    <row r="587" spans="1:12" ht="13" customHeight="1" x14ac:dyDescent="0.15">
      <c r="A587" s="48"/>
      <c r="B587" s="7"/>
      <c r="C587" s="5"/>
      <c r="D587" s="5"/>
      <c r="E587" s="5"/>
      <c r="F587" s="5"/>
      <c r="G587" s="7"/>
      <c r="H587" s="7"/>
      <c r="I587" s="7"/>
      <c r="J587" s="7"/>
      <c r="K587" s="7"/>
      <c r="L587" s="7"/>
    </row>
    <row r="588" spans="1:12" ht="13" customHeight="1" x14ac:dyDescent="0.15">
      <c r="A588" s="48"/>
      <c r="B588" s="7"/>
      <c r="C588" s="5"/>
      <c r="D588" s="5"/>
      <c r="E588" s="5"/>
      <c r="F588" s="5"/>
      <c r="G588" s="7"/>
      <c r="H588" s="7"/>
      <c r="I588" s="7"/>
      <c r="J588" s="7"/>
      <c r="K588" s="7"/>
      <c r="L588" s="7"/>
    </row>
    <row r="589" spans="1:12" ht="13" customHeight="1" x14ac:dyDescent="0.15">
      <c r="A589" s="48"/>
      <c r="B589" s="7"/>
      <c r="C589" s="5"/>
      <c r="D589" s="5"/>
      <c r="E589" s="5"/>
      <c r="F589" s="5"/>
      <c r="G589" s="7"/>
      <c r="H589" s="7"/>
      <c r="I589" s="7"/>
      <c r="J589" s="7"/>
      <c r="K589" s="7"/>
      <c r="L589" s="7"/>
    </row>
    <row r="590" spans="1:12" ht="13" customHeight="1" x14ac:dyDescent="0.15">
      <c r="A590" s="48"/>
      <c r="B590" s="7"/>
      <c r="C590" s="5"/>
      <c r="D590" s="5"/>
      <c r="E590" s="5"/>
      <c r="F590" s="5"/>
      <c r="G590" s="7"/>
      <c r="H590" s="7"/>
      <c r="I590" s="7"/>
      <c r="J590" s="7"/>
      <c r="K590" s="7"/>
      <c r="L590" s="7"/>
    </row>
    <row r="591" spans="1:12" ht="13" customHeight="1" x14ac:dyDescent="0.15">
      <c r="A591" s="48"/>
      <c r="B591" s="7"/>
      <c r="C591" s="5"/>
      <c r="D591" s="5"/>
      <c r="E591" s="5"/>
      <c r="F591" s="5"/>
      <c r="G591" s="7"/>
      <c r="H591" s="7"/>
      <c r="I591" s="7"/>
      <c r="J591" s="7"/>
      <c r="K591" s="7"/>
      <c r="L591" s="7"/>
    </row>
    <row r="592" spans="1:12" ht="13" customHeight="1" x14ac:dyDescent="0.15">
      <c r="A592" s="48"/>
      <c r="B592" s="7"/>
      <c r="C592" s="5"/>
      <c r="D592" s="5"/>
      <c r="E592" s="5"/>
      <c r="F592" s="5"/>
      <c r="G592" s="7"/>
      <c r="H592" s="7"/>
      <c r="I592" s="7"/>
      <c r="J592" s="7"/>
      <c r="K592" s="7"/>
      <c r="L592" s="7"/>
    </row>
    <row r="593" spans="1:12" ht="13" customHeight="1" x14ac:dyDescent="0.15">
      <c r="A593" s="48"/>
      <c r="B593" s="7"/>
      <c r="C593" s="5"/>
      <c r="D593" s="5"/>
      <c r="E593" s="5"/>
      <c r="F593" s="5"/>
      <c r="G593" s="7"/>
      <c r="H593" s="7"/>
      <c r="I593" s="7"/>
      <c r="J593" s="7"/>
      <c r="K593" s="7"/>
      <c r="L593" s="7"/>
    </row>
    <row r="594" spans="1:12" ht="13" customHeight="1" x14ac:dyDescent="0.15">
      <c r="A594" s="48"/>
      <c r="B594" s="7"/>
      <c r="C594" s="5"/>
      <c r="D594" s="5"/>
      <c r="E594" s="5"/>
      <c r="F594" s="5"/>
      <c r="G594" s="7"/>
      <c r="H594" s="7"/>
      <c r="I594" s="7"/>
      <c r="J594" s="7"/>
      <c r="K594" s="7"/>
      <c r="L594" s="7"/>
    </row>
    <row r="595" spans="1:12" ht="13" customHeight="1" x14ac:dyDescent="0.15">
      <c r="A595" s="48"/>
      <c r="B595" s="7"/>
      <c r="C595" s="5"/>
      <c r="D595" s="5"/>
      <c r="E595" s="5"/>
      <c r="F595" s="5"/>
      <c r="G595" s="7"/>
      <c r="H595" s="7"/>
      <c r="I595" s="7"/>
      <c r="J595" s="7"/>
      <c r="K595" s="7"/>
      <c r="L595" s="7"/>
    </row>
    <row r="596" spans="1:12" ht="13" customHeight="1" x14ac:dyDescent="0.15">
      <c r="A596" s="48"/>
      <c r="B596" s="7"/>
      <c r="C596" s="5"/>
      <c r="D596" s="5"/>
      <c r="E596" s="5"/>
      <c r="F596" s="5"/>
      <c r="G596" s="7"/>
      <c r="H596" s="7"/>
      <c r="I596" s="7"/>
      <c r="J596" s="7"/>
      <c r="K596" s="7"/>
      <c r="L596" s="7"/>
    </row>
    <row r="597" spans="1:12" ht="13" customHeight="1" x14ac:dyDescent="0.15">
      <c r="A597" s="48"/>
      <c r="B597" s="7"/>
      <c r="C597" s="5"/>
      <c r="D597" s="5"/>
      <c r="E597" s="5"/>
      <c r="F597" s="5"/>
      <c r="G597" s="7"/>
      <c r="H597" s="7"/>
      <c r="I597" s="7"/>
      <c r="J597" s="7"/>
      <c r="K597" s="7"/>
      <c r="L597" s="7"/>
    </row>
    <row r="598" spans="1:12" ht="13" customHeight="1" x14ac:dyDescent="0.15">
      <c r="A598" s="48"/>
      <c r="B598" s="7"/>
      <c r="C598" s="5"/>
      <c r="D598" s="5"/>
      <c r="E598" s="5"/>
      <c r="F598" s="5"/>
      <c r="G598" s="7"/>
      <c r="H598" s="7"/>
      <c r="I598" s="7"/>
      <c r="J598" s="7"/>
      <c r="K598" s="7"/>
      <c r="L598" s="7"/>
    </row>
    <row r="599" spans="1:12" ht="13" customHeight="1" x14ac:dyDescent="0.15">
      <c r="A599" s="48"/>
      <c r="B599" s="7"/>
      <c r="C599" s="5"/>
      <c r="D599" s="5"/>
      <c r="E599" s="5"/>
      <c r="F599" s="5"/>
      <c r="G599" s="7"/>
      <c r="H599" s="7"/>
      <c r="I599" s="7"/>
      <c r="J599" s="7"/>
      <c r="K599" s="7"/>
      <c r="L599" s="7"/>
    </row>
    <row r="600" spans="1:12" ht="13" customHeight="1" x14ac:dyDescent="0.15">
      <c r="A600" s="48"/>
      <c r="B600" s="7"/>
      <c r="C600" s="5"/>
      <c r="D600" s="5"/>
      <c r="E600" s="5"/>
      <c r="F600" s="5"/>
      <c r="G600" s="7"/>
      <c r="H600" s="7"/>
      <c r="I600" s="7"/>
      <c r="J600" s="7"/>
      <c r="K600" s="7"/>
      <c r="L600" s="7"/>
    </row>
    <row r="601" spans="1:12" ht="13" customHeight="1" x14ac:dyDescent="0.15">
      <c r="A601" s="48"/>
      <c r="B601" s="7"/>
      <c r="C601" s="5"/>
      <c r="D601" s="5"/>
      <c r="E601" s="5"/>
      <c r="F601" s="5"/>
      <c r="G601" s="7"/>
      <c r="H601" s="7"/>
      <c r="I601" s="7"/>
      <c r="J601" s="7"/>
      <c r="K601" s="7"/>
      <c r="L601" s="7"/>
    </row>
    <row r="602" spans="1:12" ht="13" customHeight="1" x14ac:dyDescent="0.15">
      <c r="A602" s="48"/>
      <c r="B602" s="7"/>
      <c r="C602" s="5"/>
      <c r="D602" s="5"/>
      <c r="E602" s="5"/>
      <c r="F602" s="5"/>
      <c r="G602" s="7"/>
      <c r="H602" s="7"/>
      <c r="I602" s="7"/>
      <c r="J602" s="7"/>
      <c r="K602" s="7"/>
      <c r="L602" s="7"/>
    </row>
    <row r="603" spans="1:12" ht="13" customHeight="1" x14ac:dyDescent="0.15">
      <c r="A603" s="48"/>
      <c r="B603" s="7"/>
      <c r="C603" s="5"/>
      <c r="D603" s="5"/>
      <c r="E603" s="5"/>
      <c r="F603" s="5"/>
      <c r="G603" s="7"/>
      <c r="H603" s="7"/>
      <c r="I603" s="7"/>
      <c r="J603" s="7"/>
      <c r="K603" s="7"/>
      <c r="L603" s="7"/>
    </row>
    <row r="604" spans="1:12" ht="13" customHeight="1" x14ac:dyDescent="0.15">
      <c r="A604" s="48"/>
      <c r="B604" s="7"/>
      <c r="C604" s="5"/>
      <c r="D604" s="5"/>
      <c r="E604" s="5"/>
      <c r="F604" s="5"/>
      <c r="G604" s="7"/>
      <c r="H604" s="7"/>
      <c r="I604" s="7"/>
      <c r="J604" s="7"/>
      <c r="K604" s="7"/>
      <c r="L604" s="7"/>
    </row>
    <row r="605" spans="1:12" ht="13" customHeight="1" x14ac:dyDescent="0.15">
      <c r="A605" s="48"/>
      <c r="B605" s="7"/>
      <c r="C605" s="5"/>
      <c r="D605" s="5"/>
      <c r="E605" s="5"/>
      <c r="F605" s="5"/>
      <c r="G605" s="7"/>
      <c r="H605" s="7"/>
      <c r="I605" s="7"/>
      <c r="J605" s="7"/>
      <c r="K605" s="7"/>
      <c r="L605" s="7"/>
    </row>
    <row r="606" spans="1:12" ht="13" customHeight="1" x14ac:dyDescent="0.15">
      <c r="A606" s="48"/>
      <c r="B606" s="7"/>
      <c r="C606" s="5"/>
      <c r="D606" s="5"/>
      <c r="E606" s="5"/>
      <c r="F606" s="5"/>
      <c r="G606" s="7"/>
      <c r="H606" s="7"/>
      <c r="I606" s="7"/>
      <c r="J606" s="7"/>
      <c r="K606" s="7"/>
      <c r="L606" s="7"/>
    </row>
    <row r="607" spans="1:12" ht="13" customHeight="1" x14ac:dyDescent="0.15">
      <c r="A607" s="48"/>
      <c r="B607" s="7"/>
      <c r="C607" s="5"/>
      <c r="D607" s="5"/>
      <c r="E607" s="5"/>
      <c r="F607" s="5"/>
      <c r="G607" s="7"/>
      <c r="H607" s="7"/>
      <c r="I607" s="7"/>
      <c r="J607" s="7"/>
      <c r="K607" s="7"/>
      <c r="L607" s="7"/>
    </row>
    <row r="608" spans="1:12" ht="13" customHeight="1" x14ac:dyDescent="0.15">
      <c r="A608" s="48"/>
      <c r="B608" s="7"/>
      <c r="C608" s="5"/>
      <c r="D608" s="5"/>
      <c r="E608" s="5"/>
      <c r="F608" s="5"/>
      <c r="G608" s="7"/>
      <c r="H608" s="7"/>
      <c r="I608" s="7"/>
      <c r="J608" s="7"/>
      <c r="K608" s="7"/>
      <c r="L608" s="7"/>
    </row>
    <row r="609" spans="1:12" ht="13" customHeight="1" x14ac:dyDescent="0.15">
      <c r="A609" s="48"/>
      <c r="B609" s="7"/>
      <c r="C609" s="5"/>
      <c r="D609" s="5"/>
      <c r="E609" s="5"/>
      <c r="F609" s="5"/>
      <c r="G609" s="7"/>
      <c r="H609" s="7"/>
      <c r="I609" s="7"/>
      <c r="J609" s="7"/>
      <c r="K609" s="7"/>
      <c r="L609" s="7"/>
    </row>
    <row r="610" spans="1:12" ht="13" customHeight="1" x14ac:dyDescent="0.15">
      <c r="A610" s="48"/>
      <c r="B610" s="7"/>
      <c r="C610" s="5"/>
      <c r="D610" s="5"/>
      <c r="E610" s="5"/>
      <c r="F610" s="5"/>
      <c r="G610" s="7"/>
      <c r="H610" s="7"/>
      <c r="I610" s="7"/>
      <c r="J610" s="7"/>
      <c r="K610" s="7"/>
      <c r="L610" s="7"/>
    </row>
    <row r="611" spans="1:12" ht="13" customHeight="1" x14ac:dyDescent="0.15">
      <c r="A611" s="48"/>
      <c r="B611" s="7"/>
      <c r="C611" s="5"/>
      <c r="D611" s="5"/>
      <c r="E611" s="5"/>
      <c r="F611" s="5"/>
      <c r="G611" s="7"/>
      <c r="H611" s="7"/>
      <c r="I611" s="7"/>
      <c r="J611" s="7"/>
      <c r="K611" s="7"/>
      <c r="L611" s="7"/>
    </row>
    <row r="612" spans="1:12" ht="13" customHeight="1" x14ac:dyDescent="0.15">
      <c r="A612" s="48"/>
      <c r="B612" s="7"/>
      <c r="C612" s="5"/>
      <c r="D612" s="5"/>
      <c r="E612" s="5"/>
      <c r="F612" s="5"/>
      <c r="G612" s="7"/>
      <c r="H612" s="7"/>
      <c r="I612" s="7"/>
      <c r="J612" s="7"/>
      <c r="K612" s="7"/>
      <c r="L612" s="7"/>
    </row>
    <row r="613" spans="1:12" ht="13" customHeight="1" x14ac:dyDescent="0.15">
      <c r="A613" s="48"/>
      <c r="B613" s="7"/>
      <c r="C613" s="5"/>
      <c r="D613" s="5"/>
      <c r="E613" s="5"/>
      <c r="F613" s="5"/>
      <c r="G613" s="7"/>
      <c r="H613" s="7"/>
      <c r="I613" s="7"/>
      <c r="J613" s="7"/>
      <c r="K613" s="7"/>
      <c r="L613" s="7"/>
    </row>
    <row r="614" spans="1:12" ht="13" customHeight="1" x14ac:dyDescent="0.15">
      <c r="A614" s="48"/>
      <c r="B614" s="7"/>
      <c r="C614" s="5"/>
      <c r="D614" s="5"/>
      <c r="E614" s="5"/>
      <c r="F614" s="5"/>
      <c r="G614" s="7"/>
      <c r="H614" s="7"/>
      <c r="I614" s="7"/>
      <c r="J614" s="7"/>
      <c r="K614" s="7"/>
      <c r="L614" s="7"/>
    </row>
    <row r="615" spans="1:12" ht="13" customHeight="1" x14ac:dyDescent="0.15">
      <c r="A615" s="48"/>
      <c r="B615" s="7"/>
      <c r="C615" s="5"/>
      <c r="D615" s="5"/>
      <c r="E615" s="5"/>
      <c r="F615" s="5"/>
      <c r="G615" s="7"/>
      <c r="H615" s="7"/>
      <c r="I615" s="7"/>
      <c r="J615" s="7"/>
      <c r="K615" s="7"/>
      <c r="L615" s="7"/>
    </row>
    <row r="616" spans="1:12" ht="13" customHeight="1" x14ac:dyDescent="0.15">
      <c r="A616" s="48"/>
      <c r="B616" s="7"/>
      <c r="C616" s="5"/>
      <c r="D616" s="5"/>
      <c r="E616" s="5"/>
      <c r="F616" s="5"/>
      <c r="G616" s="7"/>
      <c r="H616" s="7"/>
      <c r="I616" s="7"/>
      <c r="J616" s="7"/>
      <c r="K616" s="7"/>
      <c r="L616" s="7"/>
    </row>
    <row r="617" spans="1:12" ht="13" customHeight="1" x14ac:dyDescent="0.15">
      <c r="A617" s="48"/>
      <c r="B617" s="7"/>
      <c r="C617" s="5"/>
      <c r="D617" s="5"/>
      <c r="E617" s="5"/>
      <c r="F617" s="5"/>
      <c r="G617" s="7"/>
      <c r="H617" s="7"/>
      <c r="I617" s="7"/>
      <c r="J617" s="7"/>
      <c r="K617" s="7"/>
      <c r="L617" s="7"/>
    </row>
    <row r="618" spans="1:12" ht="13" customHeight="1" x14ac:dyDescent="0.15">
      <c r="A618" s="48"/>
      <c r="B618" s="7"/>
      <c r="C618" s="5"/>
      <c r="D618" s="5"/>
      <c r="E618" s="5"/>
      <c r="F618" s="5"/>
      <c r="G618" s="7"/>
      <c r="H618" s="7"/>
      <c r="I618" s="7"/>
      <c r="J618" s="7"/>
      <c r="K618" s="7"/>
      <c r="L618" s="7"/>
    </row>
    <row r="619" spans="1:12" ht="13" customHeight="1" x14ac:dyDescent="0.15">
      <c r="A619" s="48"/>
      <c r="B619" s="7"/>
      <c r="C619" s="5"/>
      <c r="D619" s="5"/>
      <c r="E619" s="5"/>
      <c r="F619" s="5"/>
      <c r="G619" s="7"/>
      <c r="H619" s="7"/>
      <c r="I619" s="7"/>
      <c r="J619" s="7"/>
      <c r="K619" s="7"/>
      <c r="L619" s="7"/>
    </row>
    <row r="620" spans="1:12" ht="13" customHeight="1" x14ac:dyDescent="0.15">
      <c r="A620" s="48"/>
      <c r="B620" s="7"/>
      <c r="C620" s="5"/>
      <c r="D620" s="5"/>
      <c r="E620" s="5"/>
      <c r="F620" s="5"/>
      <c r="G620" s="7"/>
      <c r="H620" s="7"/>
      <c r="I620" s="7"/>
      <c r="J620" s="7"/>
      <c r="K620" s="7"/>
      <c r="L620" s="7"/>
    </row>
    <row r="621" spans="1:12" ht="13" customHeight="1" x14ac:dyDescent="0.15">
      <c r="A621" s="48"/>
      <c r="B621" s="7"/>
      <c r="C621" s="5"/>
      <c r="D621" s="5"/>
      <c r="E621" s="5"/>
      <c r="F621" s="5"/>
      <c r="G621" s="7"/>
      <c r="H621" s="7"/>
      <c r="I621" s="7"/>
      <c r="J621" s="7"/>
      <c r="K621" s="7"/>
      <c r="L621" s="7"/>
    </row>
    <row r="622" spans="1:12" ht="13" customHeight="1" x14ac:dyDescent="0.15">
      <c r="A622" s="48"/>
      <c r="B622" s="7"/>
      <c r="C622" s="5"/>
      <c r="D622" s="5"/>
      <c r="E622" s="5"/>
      <c r="F622" s="5"/>
      <c r="G622" s="7"/>
      <c r="H622" s="7"/>
      <c r="I622" s="7"/>
      <c r="J622" s="7"/>
      <c r="K622" s="7"/>
      <c r="L622" s="7"/>
    </row>
    <row r="623" spans="1:12" ht="13" customHeight="1" x14ac:dyDescent="0.15">
      <c r="A623" s="48"/>
      <c r="B623" s="7"/>
      <c r="C623" s="5"/>
      <c r="D623" s="5"/>
      <c r="E623" s="5"/>
      <c r="F623" s="5"/>
      <c r="G623" s="7"/>
      <c r="H623" s="7"/>
      <c r="I623" s="7"/>
      <c r="J623" s="7"/>
      <c r="K623" s="7"/>
      <c r="L623" s="7"/>
    </row>
    <row r="624" spans="1:12" ht="13" customHeight="1" x14ac:dyDescent="0.15">
      <c r="A624" s="48"/>
      <c r="B624" s="7"/>
      <c r="C624" s="5"/>
      <c r="D624" s="5"/>
      <c r="E624" s="5"/>
      <c r="F624" s="5"/>
      <c r="G624" s="7"/>
      <c r="H624" s="7"/>
      <c r="I624" s="7"/>
      <c r="J624" s="7"/>
      <c r="K624" s="7"/>
      <c r="L624" s="7"/>
    </row>
    <row r="625" spans="1:12" ht="13" customHeight="1" x14ac:dyDescent="0.15">
      <c r="A625" s="48"/>
      <c r="B625" s="7"/>
      <c r="C625" s="5"/>
      <c r="D625" s="5"/>
      <c r="E625" s="5"/>
      <c r="F625" s="5"/>
      <c r="G625" s="7"/>
      <c r="H625" s="7"/>
      <c r="I625" s="7"/>
      <c r="J625" s="7"/>
      <c r="K625" s="7"/>
      <c r="L625" s="7"/>
    </row>
    <row r="626" spans="1:12" ht="13" customHeight="1" x14ac:dyDescent="0.15">
      <c r="A626" s="48"/>
      <c r="B626" s="7"/>
      <c r="C626" s="5"/>
      <c r="D626" s="5"/>
      <c r="E626" s="5"/>
      <c r="F626" s="5"/>
      <c r="G626" s="7"/>
      <c r="H626" s="7"/>
      <c r="I626" s="7"/>
      <c r="J626" s="7"/>
      <c r="K626" s="7"/>
      <c r="L626" s="7"/>
    </row>
    <row r="627" spans="1:12" ht="13" customHeight="1" x14ac:dyDescent="0.15">
      <c r="A627" s="48"/>
      <c r="B627" s="7"/>
      <c r="C627" s="5"/>
      <c r="D627" s="5"/>
      <c r="E627" s="5"/>
      <c r="F627" s="5"/>
      <c r="G627" s="7"/>
      <c r="H627" s="7"/>
      <c r="I627" s="7"/>
      <c r="J627" s="7"/>
      <c r="K627" s="7"/>
      <c r="L627" s="7"/>
    </row>
    <row r="628" spans="1:12" ht="13" customHeight="1" x14ac:dyDescent="0.15">
      <c r="A628" s="48"/>
      <c r="B628" s="7"/>
      <c r="C628" s="5"/>
      <c r="D628" s="5"/>
      <c r="E628" s="5"/>
      <c r="F628" s="5"/>
      <c r="G628" s="7"/>
      <c r="H628" s="7"/>
      <c r="I628" s="7"/>
      <c r="J628" s="7"/>
      <c r="K628" s="7"/>
      <c r="L628" s="7"/>
    </row>
    <row r="629" spans="1:12" ht="13" customHeight="1" x14ac:dyDescent="0.15">
      <c r="A629" s="48"/>
      <c r="B629" s="7"/>
      <c r="C629" s="5"/>
      <c r="D629" s="5"/>
      <c r="E629" s="5"/>
      <c r="F629" s="5"/>
      <c r="G629" s="7"/>
      <c r="H629" s="7"/>
      <c r="I629" s="7"/>
      <c r="J629" s="7"/>
      <c r="K629" s="7"/>
      <c r="L629" s="7"/>
    </row>
    <row r="630" spans="1:12" ht="13" customHeight="1" x14ac:dyDescent="0.15">
      <c r="A630" s="48"/>
      <c r="B630" s="7"/>
      <c r="C630" s="5"/>
      <c r="D630" s="5"/>
      <c r="E630" s="5"/>
      <c r="F630" s="5"/>
      <c r="G630" s="7"/>
      <c r="H630" s="7"/>
      <c r="I630" s="7"/>
      <c r="J630" s="7"/>
      <c r="K630" s="7"/>
      <c r="L630" s="7"/>
    </row>
    <row r="631" spans="1:12" ht="13" customHeight="1" x14ac:dyDescent="0.15">
      <c r="A631" s="48"/>
      <c r="B631" s="7"/>
      <c r="C631" s="5"/>
      <c r="D631" s="5"/>
      <c r="E631" s="5"/>
      <c r="F631" s="5"/>
      <c r="G631" s="7"/>
      <c r="H631" s="7"/>
      <c r="I631" s="7"/>
      <c r="J631" s="7"/>
      <c r="K631" s="7"/>
      <c r="L631" s="7"/>
    </row>
    <row r="632" spans="1:12" ht="13" customHeight="1" x14ac:dyDescent="0.15">
      <c r="A632" s="48"/>
      <c r="B632" s="7"/>
      <c r="C632" s="5"/>
      <c r="D632" s="5"/>
      <c r="E632" s="5"/>
      <c r="F632" s="5"/>
      <c r="G632" s="7"/>
      <c r="H632" s="7"/>
      <c r="I632" s="7"/>
      <c r="J632" s="7"/>
      <c r="K632" s="7"/>
      <c r="L632" s="7"/>
    </row>
    <row r="633" spans="1:12" ht="13" customHeight="1" x14ac:dyDescent="0.15">
      <c r="A633" s="48"/>
      <c r="B633" s="7"/>
      <c r="C633" s="5"/>
      <c r="D633" s="5"/>
      <c r="E633" s="5"/>
      <c r="F633" s="5"/>
      <c r="G633" s="7"/>
      <c r="H633" s="7"/>
      <c r="I633" s="7"/>
      <c r="J633" s="7"/>
      <c r="K633" s="7"/>
      <c r="L633" s="7"/>
    </row>
    <row r="634" spans="1:12" ht="13" customHeight="1" x14ac:dyDescent="0.15">
      <c r="A634" s="48"/>
      <c r="B634" s="7"/>
      <c r="C634" s="5"/>
      <c r="D634" s="5"/>
      <c r="E634" s="5"/>
      <c r="F634" s="5"/>
      <c r="G634" s="7"/>
      <c r="H634" s="7"/>
      <c r="I634" s="7"/>
      <c r="J634" s="7"/>
      <c r="K634" s="7"/>
      <c r="L634" s="7"/>
    </row>
    <row r="635" spans="1:12" ht="13" customHeight="1" x14ac:dyDescent="0.15">
      <c r="A635" s="48"/>
      <c r="B635" s="7"/>
      <c r="C635" s="5"/>
      <c r="D635" s="5"/>
      <c r="E635" s="5"/>
      <c r="F635" s="5"/>
      <c r="G635" s="7"/>
      <c r="H635" s="7"/>
      <c r="I635" s="7"/>
      <c r="J635" s="7"/>
      <c r="K635" s="7"/>
      <c r="L635" s="7"/>
    </row>
    <row r="636" spans="1:12" ht="13" customHeight="1" x14ac:dyDescent="0.15">
      <c r="A636" s="48"/>
      <c r="B636" s="7"/>
      <c r="C636" s="5"/>
      <c r="D636" s="5"/>
      <c r="E636" s="5"/>
      <c r="F636" s="5"/>
      <c r="G636" s="7"/>
      <c r="H636" s="7"/>
      <c r="I636" s="7"/>
      <c r="J636" s="7"/>
      <c r="K636" s="7"/>
      <c r="L636" s="7"/>
    </row>
    <row r="637" spans="1:12" ht="13" customHeight="1" x14ac:dyDescent="0.15">
      <c r="A637" s="48"/>
      <c r="B637" s="7"/>
      <c r="C637" s="5"/>
      <c r="D637" s="5"/>
      <c r="E637" s="5"/>
      <c r="F637" s="5"/>
      <c r="G637" s="7"/>
      <c r="H637" s="7"/>
      <c r="I637" s="7"/>
      <c r="J637" s="7"/>
      <c r="K637" s="7"/>
      <c r="L637" s="7"/>
    </row>
    <row r="638" spans="1:12" ht="13" customHeight="1" x14ac:dyDescent="0.15">
      <c r="A638" s="48"/>
      <c r="B638" s="7"/>
      <c r="C638" s="5"/>
      <c r="D638" s="5"/>
      <c r="E638" s="5"/>
      <c r="F638" s="5"/>
      <c r="G638" s="7"/>
      <c r="H638" s="7"/>
      <c r="I638" s="7"/>
      <c r="J638" s="7"/>
      <c r="K638" s="7"/>
      <c r="L638" s="7"/>
    </row>
    <row r="639" spans="1:12" ht="13" customHeight="1" x14ac:dyDescent="0.15">
      <c r="A639" s="48"/>
      <c r="B639" s="7"/>
      <c r="C639" s="5"/>
      <c r="D639" s="5"/>
      <c r="E639" s="5"/>
      <c r="F639" s="5"/>
      <c r="G639" s="7"/>
      <c r="H639" s="7"/>
      <c r="I639" s="7"/>
      <c r="J639" s="7"/>
      <c r="K639" s="7"/>
      <c r="L639" s="7"/>
    </row>
    <row r="640" spans="1:12" ht="13" customHeight="1" x14ac:dyDescent="0.15">
      <c r="A640" s="48"/>
      <c r="B640" s="7"/>
      <c r="C640" s="5"/>
      <c r="D640" s="5"/>
      <c r="E640" s="5"/>
      <c r="F640" s="5"/>
      <c r="G640" s="7"/>
      <c r="H640" s="7"/>
      <c r="I640" s="7"/>
      <c r="J640" s="7"/>
      <c r="K640" s="7"/>
      <c r="L640" s="7"/>
    </row>
    <row r="641" spans="1:12" ht="13" customHeight="1" x14ac:dyDescent="0.15">
      <c r="A641" s="48"/>
      <c r="B641" s="7"/>
      <c r="C641" s="5"/>
      <c r="D641" s="5"/>
      <c r="E641" s="5"/>
      <c r="F641" s="5"/>
      <c r="G641" s="7"/>
      <c r="H641" s="7"/>
      <c r="I641" s="7"/>
      <c r="J641" s="7"/>
      <c r="K641" s="7"/>
      <c r="L641" s="7"/>
    </row>
    <row r="642" spans="1:12" ht="13" customHeight="1" x14ac:dyDescent="0.15">
      <c r="A642" s="48"/>
      <c r="B642" s="7"/>
      <c r="C642" s="5"/>
      <c r="D642" s="5"/>
      <c r="E642" s="5"/>
      <c r="F642" s="5"/>
      <c r="G642" s="7"/>
      <c r="H642" s="7"/>
      <c r="I642" s="7"/>
      <c r="J642" s="7"/>
      <c r="K642" s="7"/>
      <c r="L642" s="7"/>
    </row>
    <row r="643" spans="1:12" ht="13" customHeight="1" x14ac:dyDescent="0.15">
      <c r="A643" s="48"/>
      <c r="B643" s="7"/>
      <c r="C643" s="5"/>
      <c r="D643" s="5"/>
      <c r="E643" s="5"/>
      <c r="F643" s="5"/>
      <c r="G643" s="7"/>
      <c r="H643" s="7"/>
      <c r="I643" s="7"/>
      <c r="J643" s="7"/>
      <c r="K643" s="7"/>
      <c r="L643" s="7"/>
    </row>
    <row r="644" spans="1:12" ht="13" customHeight="1" x14ac:dyDescent="0.15">
      <c r="A644" s="48"/>
      <c r="B644" s="7"/>
      <c r="C644" s="5"/>
      <c r="D644" s="5"/>
      <c r="E644" s="5"/>
      <c r="F644" s="5"/>
      <c r="G644" s="7"/>
      <c r="H644" s="7"/>
      <c r="I644" s="7"/>
      <c r="J644" s="7"/>
      <c r="K644" s="7"/>
      <c r="L644" s="7"/>
    </row>
    <row r="645" spans="1:12" ht="13" customHeight="1" x14ac:dyDescent="0.15">
      <c r="A645" s="48"/>
      <c r="B645" s="7"/>
      <c r="C645" s="5"/>
      <c r="D645" s="5"/>
      <c r="E645" s="5"/>
      <c r="F645" s="5"/>
      <c r="G645" s="7"/>
      <c r="H645" s="7"/>
      <c r="I645" s="7"/>
      <c r="J645" s="7"/>
      <c r="K645" s="7"/>
      <c r="L645" s="7"/>
    </row>
    <row r="646" spans="1:12" ht="13" customHeight="1" x14ac:dyDescent="0.15">
      <c r="A646" s="48"/>
      <c r="B646" s="7"/>
      <c r="C646" s="5"/>
      <c r="D646" s="5"/>
      <c r="E646" s="5"/>
      <c r="F646" s="5"/>
      <c r="G646" s="7"/>
      <c r="H646" s="7"/>
      <c r="I646" s="7"/>
      <c r="J646" s="7"/>
      <c r="K646" s="7"/>
      <c r="L646" s="7"/>
    </row>
    <row r="647" spans="1:12" ht="13" customHeight="1" x14ac:dyDescent="0.15">
      <c r="A647" s="48"/>
      <c r="B647" s="7"/>
      <c r="C647" s="5"/>
      <c r="D647" s="5"/>
      <c r="E647" s="5"/>
      <c r="F647" s="5"/>
      <c r="G647" s="7"/>
      <c r="H647" s="7"/>
      <c r="I647" s="7"/>
      <c r="J647" s="7"/>
      <c r="K647" s="7"/>
      <c r="L647" s="7"/>
    </row>
    <row r="648" spans="1:12" ht="13" customHeight="1" x14ac:dyDescent="0.15">
      <c r="A648" s="48"/>
      <c r="B648" s="7"/>
      <c r="C648" s="5"/>
      <c r="D648" s="5"/>
      <c r="E648" s="5"/>
      <c r="F648" s="5"/>
      <c r="G648" s="7"/>
      <c r="H648" s="7"/>
      <c r="I648" s="7"/>
      <c r="J648" s="7"/>
      <c r="K648" s="7"/>
      <c r="L648" s="7"/>
    </row>
    <row r="649" spans="1:12" ht="13" customHeight="1" x14ac:dyDescent="0.15">
      <c r="A649" s="48"/>
      <c r="B649" s="7"/>
      <c r="C649" s="5"/>
      <c r="D649" s="5"/>
      <c r="E649" s="5"/>
      <c r="F649" s="5"/>
      <c r="G649" s="7"/>
      <c r="H649" s="7"/>
      <c r="I649" s="7"/>
      <c r="J649" s="7"/>
      <c r="K649" s="7"/>
      <c r="L649" s="7"/>
    </row>
    <row r="650" spans="1:12" ht="13" customHeight="1" x14ac:dyDescent="0.15">
      <c r="A650" s="48"/>
      <c r="B650" s="7"/>
      <c r="C650" s="5"/>
      <c r="D650" s="5"/>
      <c r="E650" s="5"/>
      <c r="F650" s="5"/>
      <c r="G650" s="7"/>
      <c r="H650" s="7"/>
      <c r="I650" s="7"/>
      <c r="J650" s="7"/>
      <c r="K650" s="7"/>
      <c r="L650" s="7"/>
    </row>
    <row r="651" spans="1:12" ht="13" customHeight="1" x14ac:dyDescent="0.15">
      <c r="A651" s="48"/>
      <c r="B651" s="7"/>
      <c r="C651" s="5"/>
      <c r="D651" s="5"/>
      <c r="E651" s="5"/>
      <c r="F651" s="5"/>
      <c r="G651" s="7"/>
      <c r="H651" s="7"/>
      <c r="I651" s="7"/>
      <c r="J651" s="7"/>
      <c r="K651" s="7"/>
      <c r="L651" s="7"/>
    </row>
    <row r="652" spans="1:12" ht="13" customHeight="1" x14ac:dyDescent="0.15">
      <c r="A652" s="48"/>
      <c r="B652" s="7"/>
      <c r="C652" s="5"/>
      <c r="D652" s="5"/>
      <c r="E652" s="5"/>
      <c r="F652" s="5"/>
      <c r="G652" s="7"/>
      <c r="H652" s="7"/>
      <c r="I652" s="7"/>
      <c r="J652" s="7"/>
      <c r="K652" s="7"/>
      <c r="L652" s="7"/>
    </row>
    <row r="653" spans="1:12" ht="13" customHeight="1" x14ac:dyDescent="0.15">
      <c r="A653" s="48"/>
      <c r="B653" s="7"/>
      <c r="C653" s="5"/>
      <c r="D653" s="5"/>
      <c r="E653" s="5"/>
      <c r="F653" s="5"/>
      <c r="G653" s="7"/>
      <c r="H653" s="7"/>
      <c r="I653" s="7"/>
      <c r="J653" s="7"/>
      <c r="K653" s="7"/>
      <c r="L653" s="7"/>
    </row>
    <row r="654" spans="1:12" ht="13" customHeight="1" x14ac:dyDescent="0.15">
      <c r="A654" s="48"/>
      <c r="B654" s="7"/>
      <c r="C654" s="5"/>
      <c r="D654" s="5"/>
      <c r="E654" s="5"/>
      <c r="F654" s="5"/>
      <c r="G654" s="7"/>
      <c r="H654" s="7"/>
      <c r="I654" s="7"/>
      <c r="J654" s="7"/>
      <c r="K654" s="7"/>
      <c r="L654" s="7"/>
    </row>
    <row r="655" spans="1:12" ht="13" customHeight="1" x14ac:dyDescent="0.15">
      <c r="A655" s="48"/>
      <c r="B655" s="7"/>
      <c r="C655" s="5"/>
      <c r="D655" s="5"/>
      <c r="E655" s="5"/>
      <c r="F655" s="5"/>
      <c r="G655" s="7"/>
      <c r="H655" s="7"/>
      <c r="I655" s="7"/>
      <c r="J655" s="7"/>
      <c r="K655" s="7"/>
      <c r="L655" s="7"/>
    </row>
    <row r="656" spans="1:12" ht="13" customHeight="1" x14ac:dyDescent="0.15">
      <c r="A656" s="48"/>
      <c r="B656" s="7"/>
      <c r="C656" s="5"/>
      <c r="D656" s="5"/>
      <c r="E656" s="5"/>
      <c r="F656" s="5"/>
      <c r="G656" s="7"/>
      <c r="H656" s="7"/>
      <c r="I656" s="7"/>
      <c r="J656" s="7"/>
      <c r="K656" s="7"/>
      <c r="L656" s="7"/>
    </row>
    <row r="657" spans="1:12" ht="13" customHeight="1" x14ac:dyDescent="0.15">
      <c r="A657" s="48"/>
      <c r="B657" s="7"/>
      <c r="C657" s="5"/>
      <c r="D657" s="5"/>
      <c r="E657" s="5"/>
      <c r="F657" s="5"/>
      <c r="G657" s="7"/>
      <c r="H657" s="7"/>
      <c r="I657" s="7"/>
      <c r="J657" s="7"/>
      <c r="K657" s="7"/>
      <c r="L657" s="7"/>
    </row>
    <row r="658" spans="1:12" ht="13" customHeight="1" x14ac:dyDescent="0.15">
      <c r="A658" s="48"/>
      <c r="B658" s="7"/>
      <c r="C658" s="5"/>
      <c r="D658" s="5"/>
      <c r="E658" s="5"/>
      <c r="F658" s="5"/>
      <c r="G658" s="7"/>
      <c r="H658" s="7"/>
      <c r="I658" s="7"/>
      <c r="J658" s="7"/>
      <c r="K658" s="7"/>
      <c r="L658" s="7"/>
    </row>
    <row r="659" spans="1:12" ht="13" customHeight="1" x14ac:dyDescent="0.15">
      <c r="A659" s="48"/>
      <c r="B659" s="7"/>
      <c r="C659" s="5"/>
      <c r="D659" s="5"/>
      <c r="E659" s="5"/>
      <c r="F659" s="5"/>
      <c r="G659" s="7"/>
      <c r="H659" s="7"/>
      <c r="I659" s="7"/>
      <c r="J659" s="7"/>
      <c r="K659" s="7"/>
      <c r="L659" s="7"/>
    </row>
    <row r="660" spans="1:12" ht="13" customHeight="1" x14ac:dyDescent="0.15">
      <c r="A660" s="48"/>
      <c r="B660" s="7"/>
      <c r="C660" s="5"/>
      <c r="D660" s="5"/>
      <c r="E660" s="5"/>
      <c r="F660" s="5"/>
      <c r="G660" s="7"/>
      <c r="H660" s="7"/>
      <c r="I660" s="7"/>
      <c r="J660" s="7"/>
      <c r="K660" s="7"/>
      <c r="L660" s="7"/>
    </row>
    <row r="661" spans="1:12" ht="13" customHeight="1" x14ac:dyDescent="0.15">
      <c r="A661" s="48"/>
      <c r="B661" s="7"/>
      <c r="C661" s="5"/>
      <c r="D661" s="5"/>
      <c r="E661" s="5"/>
      <c r="F661" s="5"/>
      <c r="G661" s="7"/>
      <c r="H661" s="7"/>
      <c r="I661" s="7"/>
      <c r="J661" s="7"/>
      <c r="K661" s="7"/>
      <c r="L661" s="7"/>
    </row>
    <row r="662" spans="1:12" ht="13" customHeight="1" x14ac:dyDescent="0.15">
      <c r="A662" s="48"/>
      <c r="B662" s="7"/>
      <c r="C662" s="5"/>
      <c r="D662" s="5"/>
      <c r="E662" s="5"/>
      <c r="F662" s="5"/>
      <c r="G662" s="7"/>
      <c r="H662" s="7"/>
      <c r="I662" s="7"/>
      <c r="J662" s="7"/>
      <c r="K662" s="7"/>
      <c r="L662" s="7"/>
    </row>
    <row r="663" spans="1:12" ht="13" customHeight="1" x14ac:dyDescent="0.15">
      <c r="A663" s="48"/>
      <c r="B663" s="7"/>
      <c r="C663" s="5"/>
      <c r="D663" s="5"/>
      <c r="E663" s="5"/>
      <c r="F663" s="5"/>
      <c r="G663" s="7"/>
      <c r="H663" s="7"/>
      <c r="I663" s="7"/>
      <c r="J663" s="7"/>
      <c r="K663" s="7"/>
      <c r="L663" s="7"/>
    </row>
    <row r="664" spans="1:12" ht="13" customHeight="1" x14ac:dyDescent="0.15">
      <c r="A664" s="48"/>
      <c r="B664" s="7"/>
      <c r="C664" s="5"/>
      <c r="D664" s="5"/>
      <c r="E664" s="5"/>
      <c r="F664" s="5"/>
      <c r="G664" s="7"/>
      <c r="H664" s="7"/>
      <c r="I664" s="7"/>
      <c r="J664" s="7"/>
      <c r="K664" s="7"/>
      <c r="L664" s="7"/>
    </row>
    <row r="665" spans="1:12" ht="13" customHeight="1" x14ac:dyDescent="0.15">
      <c r="A665" s="48"/>
      <c r="B665" s="7"/>
      <c r="C665" s="5"/>
      <c r="D665" s="5"/>
      <c r="E665" s="5"/>
      <c r="F665" s="5"/>
      <c r="G665" s="7"/>
      <c r="H665" s="7"/>
      <c r="I665" s="7"/>
      <c r="J665" s="7"/>
      <c r="K665" s="7"/>
      <c r="L665" s="7"/>
    </row>
    <row r="666" spans="1:12" ht="13" customHeight="1" x14ac:dyDescent="0.15">
      <c r="A666" s="48"/>
      <c r="B666" s="7"/>
      <c r="C666" s="5"/>
      <c r="D666" s="5"/>
      <c r="E666" s="5"/>
      <c r="F666" s="5"/>
      <c r="G666" s="7"/>
      <c r="H666" s="7"/>
      <c r="I666" s="7"/>
      <c r="J666" s="7"/>
      <c r="K666" s="7"/>
      <c r="L666" s="7"/>
    </row>
    <row r="667" spans="1:12" ht="13" customHeight="1" x14ac:dyDescent="0.15">
      <c r="A667" s="48"/>
      <c r="B667" s="7"/>
      <c r="C667" s="5"/>
      <c r="D667" s="5"/>
      <c r="E667" s="5"/>
      <c r="F667" s="5"/>
      <c r="G667" s="7"/>
      <c r="H667" s="7"/>
      <c r="I667" s="7"/>
      <c r="J667" s="7"/>
      <c r="K667" s="7"/>
      <c r="L667" s="7"/>
    </row>
    <row r="668" spans="1:12" ht="13" customHeight="1" x14ac:dyDescent="0.15">
      <c r="A668" s="48"/>
      <c r="B668" s="7"/>
      <c r="C668" s="5"/>
      <c r="D668" s="5"/>
      <c r="E668" s="5"/>
      <c r="F668" s="5"/>
      <c r="G668" s="7"/>
      <c r="H668" s="7"/>
      <c r="I668" s="7"/>
      <c r="J668" s="7"/>
      <c r="K668" s="7"/>
      <c r="L668" s="7"/>
    </row>
    <row r="669" spans="1:12" ht="13" customHeight="1" x14ac:dyDescent="0.15">
      <c r="A669" s="48"/>
      <c r="B669" s="7"/>
      <c r="C669" s="5"/>
      <c r="D669" s="5"/>
      <c r="E669" s="5"/>
      <c r="F669" s="5"/>
      <c r="G669" s="7"/>
      <c r="H669" s="7"/>
      <c r="I669" s="7"/>
      <c r="J669" s="7"/>
      <c r="K669" s="7"/>
      <c r="L669" s="7"/>
    </row>
    <row r="670" spans="1:12" ht="13" customHeight="1" x14ac:dyDescent="0.15">
      <c r="A670" s="48"/>
      <c r="B670" s="7"/>
      <c r="C670" s="5"/>
      <c r="D670" s="5"/>
      <c r="E670" s="5"/>
      <c r="F670" s="5"/>
      <c r="G670" s="7"/>
      <c r="H670" s="7"/>
      <c r="I670" s="7"/>
      <c r="J670" s="7"/>
      <c r="K670" s="7"/>
      <c r="L670" s="7"/>
    </row>
    <row r="671" spans="1:12" ht="13" customHeight="1" x14ac:dyDescent="0.15">
      <c r="A671" s="48"/>
      <c r="B671" s="7"/>
      <c r="C671" s="5"/>
      <c r="D671" s="5"/>
      <c r="E671" s="5"/>
      <c r="F671" s="5"/>
      <c r="G671" s="7"/>
      <c r="H671" s="7"/>
      <c r="I671" s="7"/>
      <c r="J671" s="7"/>
      <c r="K671" s="7"/>
      <c r="L671" s="7"/>
    </row>
    <row r="672" spans="1:12" ht="13" customHeight="1" x14ac:dyDescent="0.15">
      <c r="A672" s="48"/>
      <c r="B672" s="7"/>
      <c r="C672" s="5"/>
      <c r="D672" s="5"/>
      <c r="E672" s="5"/>
      <c r="F672" s="5"/>
      <c r="G672" s="7"/>
      <c r="H672" s="7"/>
      <c r="I672" s="7"/>
      <c r="J672" s="7"/>
      <c r="K672" s="7"/>
      <c r="L672" s="7"/>
    </row>
    <row r="673" spans="1:12" ht="13" customHeight="1" x14ac:dyDescent="0.15">
      <c r="A673" s="48"/>
      <c r="B673" s="7"/>
      <c r="C673" s="5"/>
      <c r="D673" s="5"/>
      <c r="E673" s="5"/>
      <c r="F673" s="5"/>
      <c r="G673" s="7"/>
      <c r="H673" s="7"/>
      <c r="I673" s="7"/>
      <c r="J673" s="7"/>
      <c r="K673" s="7"/>
      <c r="L673" s="7"/>
    </row>
    <row r="674" spans="1:12" ht="13" customHeight="1" x14ac:dyDescent="0.15">
      <c r="A674" s="48"/>
      <c r="B674" s="7"/>
      <c r="C674" s="5"/>
      <c r="D674" s="5"/>
      <c r="E674" s="5"/>
      <c r="F674" s="5"/>
      <c r="G674" s="7"/>
      <c r="H674" s="7"/>
      <c r="I674" s="7"/>
      <c r="J674" s="7"/>
      <c r="K674" s="7"/>
      <c r="L674" s="7"/>
    </row>
    <row r="675" spans="1:12" ht="13" customHeight="1" x14ac:dyDescent="0.15">
      <c r="A675" s="48"/>
      <c r="B675" s="7"/>
      <c r="C675" s="5"/>
      <c r="D675" s="5"/>
      <c r="E675" s="5"/>
      <c r="F675" s="5"/>
      <c r="G675" s="7"/>
      <c r="H675" s="7"/>
      <c r="I675" s="7"/>
      <c r="J675" s="7"/>
      <c r="K675" s="7"/>
      <c r="L675" s="7"/>
    </row>
    <row r="676" spans="1:12" ht="13" customHeight="1" x14ac:dyDescent="0.15">
      <c r="A676" s="48"/>
      <c r="B676" s="7"/>
      <c r="C676" s="5"/>
      <c r="D676" s="5"/>
      <c r="E676" s="5"/>
      <c r="F676" s="5"/>
      <c r="G676" s="7"/>
      <c r="H676" s="7"/>
      <c r="I676" s="7"/>
      <c r="J676" s="7"/>
      <c r="K676" s="7"/>
      <c r="L676" s="7"/>
    </row>
    <row r="677" spans="1:12" ht="13" customHeight="1" x14ac:dyDescent="0.15">
      <c r="A677" s="48"/>
      <c r="B677" s="7"/>
      <c r="C677" s="5"/>
      <c r="D677" s="5"/>
      <c r="E677" s="5"/>
      <c r="F677" s="5"/>
      <c r="G677" s="7"/>
      <c r="H677" s="7"/>
      <c r="I677" s="7"/>
      <c r="J677" s="7"/>
      <c r="K677" s="7"/>
      <c r="L677" s="7"/>
    </row>
    <row r="678" spans="1:12" ht="13" customHeight="1" x14ac:dyDescent="0.15">
      <c r="A678" s="48"/>
      <c r="B678" s="7"/>
      <c r="C678" s="5"/>
      <c r="D678" s="5"/>
      <c r="E678" s="5"/>
      <c r="F678" s="5"/>
      <c r="G678" s="7"/>
      <c r="H678" s="7"/>
      <c r="I678" s="7"/>
      <c r="J678" s="7"/>
      <c r="K678" s="7"/>
      <c r="L678" s="7"/>
    </row>
    <row r="679" spans="1:12" ht="13" customHeight="1" x14ac:dyDescent="0.15">
      <c r="A679" s="48"/>
      <c r="B679" s="7"/>
      <c r="C679" s="5"/>
      <c r="D679" s="5"/>
      <c r="E679" s="5"/>
      <c r="F679" s="5"/>
      <c r="G679" s="7"/>
      <c r="H679" s="7"/>
      <c r="I679" s="7"/>
      <c r="J679" s="7"/>
      <c r="K679" s="7"/>
      <c r="L679" s="7"/>
    </row>
    <row r="680" spans="1:12" ht="13" customHeight="1" x14ac:dyDescent="0.15">
      <c r="A680" s="48"/>
      <c r="B680" s="7"/>
      <c r="C680" s="5"/>
      <c r="D680" s="5"/>
      <c r="E680" s="5"/>
      <c r="F680" s="5"/>
      <c r="G680" s="7"/>
      <c r="H680" s="7"/>
      <c r="I680" s="7"/>
      <c r="J680" s="7"/>
      <c r="K680" s="7"/>
      <c r="L680" s="7"/>
    </row>
    <row r="681" spans="1:12" ht="13" customHeight="1" x14ac:dyDescent="0.15">
      <c r="A681" s="48"/>
      <c r="B681" s="7"/>
      <c r="C681" s="5"/>
      <c r="D681" s="5"/>
      <c r="E681" s="5"/>
      <c r="F681" s="5"/>
      <c r="G681" s="7"/>
      <c r="H681" s="7"/>
      <c r="I681" s="7"/>
      <c r="J681" s="7"/>
      <c r="K681" s="7"/>
      <c r="L681" s="7"/>
    </row>
    <row r="682" spans="1:12" ht="13" customHeight="1" x14ac:dyDescent="0.15">
      <c r="A682" s="48"/>
      <c r="B682" s="7"/>
      <c r="C682" s="5"/>
      <c r="D682" s="5"/>
      <c r="E682" s="5"/>
      <c r="F682" s="5"/>
      <c r="G682" s="7"/>
      <c r="H682" s="7"/>
      <c r="I682" s="7"/>
      <c r="J682" s="7"/>
      <c r="K682" s="7"/>
      <c r="L682" s="7"/>
    </row>
    <row r="683" spans="1:12" ht="13" customHeight="1" x14ac:dyDescent="0.15">
      <c r="A683" s="48"/>
      <c r="B683" s="7"/>
      <c r="C683" s="5"/>
      <c r="D683" s="5"/>
      <c r="E683" s="5"/>
      <c r="F683" s="5"/>
      <c r="G683" s="7"/>
      <c r="H683" s="7"/>
      <c r="I683" s="7"/>
      <c r="J683" s="7"/>
      <c r="K683" s="7"/>
      <c r="L683" s="7"/>
    </row>
    <row r="684" spans="1:12" ht="13" customHeight="1" x14ac:dyDescent="0.15">
      <c r="A684" s="48"/>
      <c r="B684" s="7"/>
      <c r="C684" s="5"/>
      <c r="D684" s="5"/>
      <c r="E684" s="5"/>
      <c r="F684" s="5"/>
      <c r="G684" s="7"/>
      <c r="H684" s="7"/>
      <c r="I684" s="7"/>
      <c r="J684" s="7"/>
      <c r="K684" s="7"/>
      <c r="L684" s="7"/>
    </row>
    <row r="685" spans="1:12" ht="13" customHeight="1" x14ac:dyDescent="0.15">
      <c r="A685" s="48"/>
      <c r="B685" s="7"/>
      <c r="C685" s="5"/>
      <c r="D685" s="5"/>
      <c r="E685" s="5"/>
      <c r="F685" s="5"/>
      <c r="G685" s="7"/>
      <c r="H685" s="7"/>
      <c r="I685" s="7"/>
      <c r="J685" s="7"/>
      <c r="K685" s="7"/>
      <c r="L685" s="7"/>
    </row>
    <row r="686" spans="1:12" ht="13" customHeight="1" x14ac:dyDescent="0.15">
      <c r="A686" s="48"/>
      <c r="B686" s="7"/>
      <c r="C686" s="5"/>
      <c r="D686" s="5"/>
      <c r="E686" s="5"/>
      <c r="F686" s="5"/>
      <c r="G686" s="7"/>
      <c r="H686" s="7"/>
      <c r="I686" s="7"/>
      <c r="J686" s="7"/>
      <c r="K686" s="7"/>
      <c r="L686" s="7"/>
    </row>
    <row r="687" spans="1:12" ht="13" customHeight="1" x14ac:dyDescent="0.15">
      <c r="A687" s="48"/>
      <c r="B687" s="7"/>
      <c r="C687" s="5"/>
      <c r="D687" s="5"/>
      <c r="E687" s="5"/>
      <c r="F687" s="5"/>
      <c r="G687" s="7"/>
      <c r="H687" s="7"/>
      <c r="I687" s="7"/>
      <c r="J687" s="7"/>
      <c r="K687" s="7"/>
      <c r="L687" s="7"/>
    </row>
    <row r="688" spans="1:12" ht="13" customHeight="1" x14ac:dyDescent="0.15">
      <c r="A688" s="48"/>
      <c r="B688" s="7"/>
      <c r="C688" s="5"/>
      <c r="D688" s="5"/>
      <c r="E688" s="5"/>
      <c r="F688" s="5"/>
      <c r="G688" s="7"/>
      <c r="H688" s="7"/>
      <c r="I688" s="7"/>
      <c r="J688" s="7"/>
      <c r="K688" s="7"/>
      <c r="L688" s="7"/>
    </row>
    <row r="689" spans="1:12" ht="13" customHeight="1" x14ac:dyDescent="0.15">
      <c r="A689" s="48"/>
      <c r="B689" s="7"/>
      <c r="C689" s="5"/>
      <c r="D689" s="5"/>
      <c r="E689" s="5"/>
      <c r="F689" s="5"/>
      <c r="G689" s="7"/>
      <c r="H689" s="7"/>
      <c r="I689" s="7"/>
      <c r="J689" s="7"/>
      <c r="K689" s="7"/>
      <c r="L689" s="7"/>
    </row>
    <row r="690" spans="1:12" ht="13" customHeight="1" x14ac:dyDescent="0.15">
      <c r="A690" s="48"/>
      <c r="B690" s="7"/>
      <c r="C690" s="5"/>
      <c r="D690" s="5"/>
      <c r="E690" s="5"/>
      <c r="F690" s="5"/>
      <c r="G690" s="7"/>
      <c r="H690" s="7"/>
      <c r="I690" s="7"/>
      <c r="J690" s="7"/>
      <c r="K690" s="7"/>
      <c r="L690" s="7"/>
    </row>
    <row r="691" spans="1:12" ht="13" customHeight="1" x14ac:dyDescent="0.15">
      <c r="A691" s="48"/>
      <c r="B691" s="7"/>
      <c r="C691" s="5"/>
      <c r="D691" s="5"/>
      <c r="E691" s="5"/>
      <c r="F691" s="5"/>
      <c r="G691" s="7"/>
      <c r="H691" s="7"/>
      <c r="I691" s="7"/>
      <c r="J691" s="7"/>
      <c r="K691" s="7"/>
      <c r="L691" s="7"/>
    </row>
    <row r="692" spans="1:12" ht="13" customHeight="1" x14ac:dyDescent="0.15">
      <c r="A692" s="48"/>
      <c r="B692" s="7"/>
      <c r="C692" s="5"/>
      <c r="D692" s="5"/>
      <c r="E692" s="5"/>
      <c r="F692" s="5"/>
      <c r="G692" s="7"/>
      <c r="H692" s="7"/>
      <c r="I692" s="7"/>
      <c r="J692" s="7"/>
      <c r="K692" s="7"/>
      <c r="L692" s="7"/>
    </row>
    <row r="693" spans="1:12" ht="13" customHeight="1" x14ac:dyDescent="0.15">
      <c r="A693" s="48"/>
      <c r="B693" s="7"/>
      <c r="C693" s="5"/>
      <c r="D693" s="5"/>
      <c r="E693" s="5"/>
      <c r="F693" s="5"/>
      <c r="G693" s="7"/>
      <c r="H693" s="7"/>
      <c r="I693" s="7"/>
      <c r="J693" s="7"/>
      <c r="K693" s="7"/>
      <c r="L693" s="7"/>
    </row>
    <row r="694" spans="1:12" ht="13" customHeight="1" x14ac:dyDescent="0.15">
      <c r="A694" s="48"/>
      <c r="B694" s="7"/>
      <c r="C694" s="5"/>
      <c r="D694" s="5"/>
      <c r="E694" s="5"/>
      <c r="F694" s="5"/>
      <c r="G694" s="7"/>
      <c r="H694" s="7"/>
      <c r="I694" s="7"/>
      <c r="J694" s="7"/>
      <c r="K694" s="7"/>
      <c r="L694" s="7"/>
    </row>
    <row r="695" spans="1:12" ht="13" customHeight="1" x14ac:dyDescent="0.15">
      <c r="A695" s="48"/>
      <c r="B695" s="7"/>
      <c r="C695" s="5"/>
      <c r="D695" s="5"/>
      <c r="E695" s="5"/>
      <c r="F695" s="5"/>
      <c r="G695" s="7"/>
      <c r="H695" s="7"/>
      <c r="I695" s="7"/>
      <c r="J695" s="7"/>
      <c r="K695" s="7"/>
      <c r="L695" s="7"/>
    </row>
    <row r="696" spans="1:12" ht="13" customHeight="1" x14ac:dyDescent="0.15">
      <c r="A696" s="48"/>
      <c r="B696" s="7"/>
      <c r="C696" s="5"/>
      <c r="D696" s="5"/>
      <c r="E696" s="5"/>
      <c r="F696" s="5"/>
      <c r="G696" s="7"/>
      <c r="H696" s="7"/>
      <c r="I696" s="7"/>
      <c r="J696" s="7"/>
      <c r="K696" s="7"/>
      <c r="L696" s="7"/>
    </row>
    <row r="697" spans="1:12" ht="13" customHeight="1" x14ac:dyDescent="0.15">
      <c r="A697" s="48"/>
      <c r="B697" s="7"/>
      <c r="C697" s="5"/>
      <c r="D697" s="5"/>
      <c r="E697" s="5"/>
      <c r="F697" s="5"/>
      <c r="G697" s="7"/>
      <c r="H697" s="7"/>
      <c r="I697" s="7"/>
      <c r="J697" s="7"/>
      <c r="K697" s="7"/>
      <c r="L697" s="7"/>
    </row>
    <row r="698" spans="1:12" ht="13" customHeight="1" x14ac:dyDescent="0.15">
      <c r="A698" s="48"/>
      <c r="B698" s="7"/>
      <c r="C698" s="5"/>
      <c r="D698" s="5"/>
      <c r="E698" s="5"/>
      <c r="F698" s="5"/>
      <c r="G698" s="7"/>
      <c r="H698" s="7"/>
      <c r="I698" s="7"/>
      <c r="J698" s="7"/>
      <c r="K698" s="7"/>
      <c r="L698" s="7"/>
    </row>
    <row r="699" spans="1:12" ht="13" customHeight="1" x14ac:dyDescent="0.15">
      <c r="A699" s="48"/>
      <c r="B699" s="7"/>
      <c r="C699" s="5"/>
      <c r="D699" s="5"/>
      <c r="E699" s="5"/>
      <c r="F699" s="5"/>
      <c r="G699" s="7"/>
      <c r="H699" s="7"/>
      <c r="I699" s="7"/>
      <c r="J699" s="7"/>
      <c r="K699" s="7"/>
      <c r="L699" s="7"/>
    </row>
    <row r="700" spans="1:12" ht="13" customHeight="1" x14ac:dyDescent="0.15">
      <c r="A700" s="48"/>
      <c r="B700" s="7"/>
      <c r="C700" s="5"/>
      <c r="D700" s="5"/>
      <c r="E700" s="5"/>
      <c r="F700" s="5"/>
      <c r="G700" s="7"/>
      <c r="H700" s="7"/>
      <c r="I700" s="7"/>
      <c r="J700" s="7"/>
      <c r="K700" s="7"/>
      <c r="L700" s="7"/>
    </row>
    <row r="701" spans="1:12" ht="13" customHeight="1" x14ac:dyDescent="0.15">
      <c r="A701" s="48"/>
      <c r="B701" s="7"/>
      <c r="C701" s="5"/>
      <c r="D701" s="5"/>
      <c r="E701" s="5"/>
      <c r="F701" s="5"/>
      <c r="G701" s="7"/>
      <c r="H701" s="7"/>
      <c r="I701" s="7"/>
      <c r="J701" s="7"/>
      <c r="K701" s="7"/>
      <c r="L701" s="7"/>
    </row>
    <row r="702" spans="1:12" ht="13" customHeight="1" x14ac:dyDescent="0.15">
      <c r="A702" s="48"/>
      <c r="B702" s="7"/>
      <c r="C702" s="5"/>
      <c r="D702" s="5"/>
      <c r="E702" s="5"/>
      <c r="F702" s="5"/>
      <c r="G702" s="7"/>
      <c r="H702" s="7"/>
      <c r="I702" s="7"/>
      <c r="J702" s="7"/>
      <c r="K702" s="7"/>
      <c r="L702" s="7"/>
    </row>
    <row r="703" spans="1:12" ht="13" customHeight="1" x14ac:dyDescent="0.15">
      <c r="A703" s="48"/>
      <c r="B703" s="7"/>
      <c r="C703" s="5"/>
      <c r="D703" s="5"/>
      <c r="E703" s="5"/>
      <c r="F703" s="5"/>
      <c r="G703" s="7"/>
      <c r="H703" s="7"/>
      <c r="I703" s="7"/>
      <c r="J703" s="7"/>
      <c r="K703" s="7"/>
      <c r="L703" s="7"/>
    </row>
    <row r="704" spans="1:12" ht="13" customHeight="1" x14ac:dyDescent="0.15">
      <c r="A704" s="48"/>
      <c r="B704" s="7"/>
      <c r="C704" s="5"/>
      <c r="D704" s="5"/>
      <c r="E704" s="5"/>
      <c r="F704" s="5"/>
      <c r="G704" s="7"/>
      <c r="H704" s="7"/>
      <c r="I704" s="7"/>
      <c r="J704" s="7"/>
      <c r="K704" s="7"/>
      <c r="L704" s="7"/>
    </row>
    <row r="705" spans="1:12" ht="13" customHeight="1" x14ac:dyDescent="0.15">
      <c r="A705" s="48"/>
      <c r="B705" s="7"/>
      <c r="C705" s="5"/>
      <c r="D705" s="5"/>
      <c r="E705" s="5"/>
      <c r="F705" s="5"/>
      <c r="G705" s="7"/>
      <c r="H705" s="7"/>
      <c r="I705" s="7"/>
      <c r="J705" s="7"/>
      <c r="K705" s="7"/>
      <c r="L705" s="7"/>
    </row>
    <row r="706" spans="1:12" ht="13" customHeight="1" x14ac:dyDescent="0.15">
      <c r="A706" s="48"/>
      <c r="B706" s="7"/>
      <c r="C706" s="5"/>
      <c r="D706" s="5"/>
      <c r="E706" s="5"/>
      <c r="F706" s="5"/>
      <c r="G706" s="7"/>
      <c r="H706" s="7"/>
      <c r="I706" s="7"/>
      <c r="J706" s="7"/>
      <c r="K706" s="7"/>
      <c r="L706" s="7"/>
    </row>
    <row r="707" spans="1:12" ht="13" customHeight="1" x14ac:dyDescent="0.15">
      <c r="A707" s="48"/>
      <c r="B707" s="7"/>
      <c r="C707" s="5"/>
      <c r="D707" s="5"/>
      <c r="E707" s="5"/>
      <c r="F707" s="5"/>
      <c r="G707" s="7"/>
      <c r="H707" s="7"/>
      <c r="I707" s="7"/>
      <c r="J707" s="7"/>
      <c r="K707" s="7"/>
      <c r="L707" s="7"/>
    </row>
    <row r="708" spans="1:12" ht="13" customHeight="1" x14ac:dyDescent="0.15">
      <c r="A708" s="48"/>
      <c r="B708" s="7"/>
      <c r="C708" s="5"/>
      <c r="D708" s="5"/>
      <c r="E708" s="5"/>
      <c r="F708" s="5"/>
      <c r="G708" s="7"/>
      <c r="H708" s="7"/>
      <c r="I708" s="7"/>
      <c r="J708" s="7"/>
      <c r="K708" s="7"/>
      <c r="L708" s="7"/>
    </row>
    <row r="709" spans="1:12" ht="13" customHeight="1" x14ac:dyDescent="0.15">
      <c r="A709" s="48"/>
      <c r="B709" s="7"/>
      <c r="C709" s="5"/>
      <c r="D709" s="5"/>
      <c r="E709" s="5"/>
      <c r="F709" s="5"/>
      <c r="G709" s="7"/>
      <c r="H709" s="7"/>
      <c r="I709" s="7"/>
      <c r="J709" s="7"/>
      <c r="K709" s="7"/>
      <c r="L709" s="7"/>
    </row>
    <row r="710" spans="1:12" ht="13" customHeight="1" x14ac:dyDescent="0.15">
      <c r="A710" s="48"/>
      <c r="B710" s="7"/>
      <c r="C710" s="5"/>
      <c r="D710" s="5"/>
      <c r="E710" s="5"/>
      <c r="F710" s="5"/>
      <c r="G710" s="7"/>
      <c r="H710" s="7"/>
      <c r="I710" s="7"/>
      <c r="J710" s="7"/>
      <c r="K710" s="7"/>
      <c r="L710" s="7"/>
    </row>
    <row r="711" spans="1:12" ht="13" customHeight="1" x14ac:dyDescent="0.15">
      <c r="A711" s="48"/>
      <c r="B711" s="7"/>
      <c r="C711" s="5"/>
      <c r="D711" s="5"/>
      <c r="E711" s="5"/>
      <c r="F711" s="5"/>
      <c r="G711" s="7"/>
      <c r="H711" s="7"/>
      <c r="I711" s="7"/>
      <c r="J711" s="7"/>
      <c r="K711" s="7"/>
      <c r="L711" s="7"/>
    </row>
    <row r="712" spans="1:12" ht="13" customHeight="1" x14ac:dyDescent="0.15">
      <c r="A712" s="48"/>
      <c r="B712" s="7"/>
      <c r="C712" s="5"/>
      <c r="D712" s="5"/>
      <c r="E712" s="5"/>
      <c r="F712" s="5"/>
      <c r="G712" s="7"/>
      <c r="H712" s="7"/>
      <c r="I712" s="7"/>
      <c r="J712" s="7"/>
      <c r="K712" s="7"/>
      <c r="L712" s="7"/>
    </row>
    <row r="713" spans="1:12" ht="13" customHeight="1" x14ac:dyDescent="0.15">
      <c r="A713" s="48"/>
      <c r="B713" s="7"/>
      <c r="C713" s="5"/>
      <c r="D713" s="5"/>
      <c r="E713" s="5"/>
      <c r="F713" s="5"/>
      <c r="G713" s="7"/>
      <c r="H713" s="7"/>
      <c r="I713" s="7"/>
      <c r="J713" s="7"/>
      <c r="K713" s="7"/>
      <c r="L713" s="7"/>
    </row>
    <row r="714" spans="1:12" ht="13" customHeight="1" x14ac:dyDescent="0.15">
      <c r="A714" s="48"/>
      <c r="B714" s="7"/>
      <c r="C714" s="5"/>
      <c r="D714" s="5"/>
      <c r="E714" s="5"/>
      <c r="F714" s="5"/>
      <c r="G714" s="7"/>
      <c r="H714" s="7"/>
      <c r="I714" s="7"/>
      <c r="J714" s="7"/>
      <c r="K714" s="7"/>
      <c r="L714" s="7"/>
    </row>
    <row r="715" spans="1:12" ht="13" customHeight="1" x14ac:dyDescent="0.15">
      <c r="A715" s="48"/>
      <c r="B715" s="7"/>
      <c r="C715" s="5"/>
      <c r="D715" s="5"/>
      <c r="E715" s="5"/>
      <c r="F715" s="5"/>
      <c r="G715" s="7"/>
      <c r="H715" s="7"/>
      <c r="I715" s="7"/>
      <c r="J715" s="7"/>
      <c r="K715" s="7"/>
      <c r="L715" s="7"/>
    </row>
    <row r="716" spans="1:12" ht="13" customHeight="1" x14ac:dyDescent="0.15">
      <c r="A716" s="48"/>
      <c r="B716" s="7"/>
      <c r="C716" s="5"/>
      <c r="D716" s="5"/>
      <c r="E716" s="5"/>
      <c r="F716" s="5"/>
      <c r="G716" s="7"/>
      <c r="H716" s="7"/>
      <c r="I716" s="7"/>
      <c r="J716" s="7"/>
      <c r="K716" s="7"/>
      <c r="L716" s="7"/>
    </row>
    <row r="717" spans="1:12" ht="13" customHeight="1" x14ac:dyDescent="0.15">
      <c r="A717" s="48"/>
      <c r="B717" s="7"/>
      <c r="C717" s="5"/>
      <c r="D717" s="5"/>
      <c r="E717" s="5"/>
      <c r="F717" s="5"/>
      <c r="G717" s="7"/>
      <c r="H717" s="7"/>
      <c r="I717" s="7"/>
      <c r="J717" s="7"/>
      <c r="K717" s="7"/>
      <c r="L717" s="7"/>
    </row>
    <row r="718" spans="1:12" ht="13" customHeight="1" x14ac:dyDescent="0.15">
      <c r="A718" s="48"/>
      <c r="B718" s="7"/>
      <c r="C718" s="5"/>
      <c r="D718" s="5"/>
      <c r="E718" s="5"/>
      <c r="F718" s="5"/>
      <c r="G718" s="7"/>
      <c r="H718" s="7"/>
      <c r="I718" s="7"/>
      <c r="J718" s="7"/>
      <c r="K718" s="7"/>
      <c r="L718" s="7"/>
    </row>
    <row r="719" spans="1:12" ht="13" customHeight="1" x14ac:dyDescent="0.15">
      <c r="A719" s="48"/>
      <c r="B719" s="7"/>
      <c r="C719" s="5"/>
      <c r="D719" s="5"/>
      <c r="E719" s="5"/>
      <c r="F719" s="5"/>
      <c r="G719" s="7"/>
      <c r="H719" s="7"/>
      <c r="I719" s="7"/>
      <c r="J719" s="7"/>
      <c r="K719" s="7"/>
      <c r="L719" s="7"/>
    </row>
    <row r="720" spans="1:12" ht="13" customHeight="1" x14ac:dyDescent="0.15">
      <c r="A720" s="48"/>
      <c r="B720" s="7"/>
      <c r="C720" s="5"/>
      <c r="D720" s="5"/>
      <c r="E720" s="5"/>
      <c r="F720" s="5"/>
      <c r="G720" s="7"/>
      <c r="H720" s="7"/>
      <c r="I720" s="7"/>
      <c r="J720" s="7"/>
      <c r="K720" s="7"/>
      <c r="L720" s="7"/>
    </row>
    <row r="721" spans="1:12" ht="13" customHeight="1" x14ac:dyDescent="0.15">
      <c r="A721" s="48"/>
      <c r="B721" s="7"/>
      <c r="C721" s="5"/>
      <c r="D721" s="5"/>
      <c r="E721" s="5"/>
      <c r="F721" s="5"/>
      <c r="G721" s="7"/>
      <c r="H721" s="7"/>
      <c r="I721" s="7"/>
      <c r="J721" s="7"/>
      <c r="K721" s="7"/>
      <c r="L721" s="7"/>
    </row>
    <row r="722" spans="1:12" ht="13" customHeight="1" x14ac:dyDescent="0.15">
      <c r="A722" s="48"/>
      <c r="B722" s="7"/>
      <c r="C722" s="5"/>
      <c r="D722" s="5"/>
      <c r="E722" s="5"/>
      <c r="F722" s="5"/>
      <c r="G722" s="7"/>
      <c r="H722" s="7"/>
      <c r="I722" s="7"/>
      <c r="J722" s="7"/>
      <c r="K722" s="7"/>
      <c r="L722" s="7"/>
    </row>
    <row r="723" spans="1:12" ht="13" customHeight="1" x14ac:dyDescent="0.15">
      <c r="A723" s="48"/>
      <c r="B723" s="7"/>
      <c r="C723" s="5"/>
      <c r="D723" s="5"/>
      <c r="E723" s="5"/>
      <c r="F723" s="5"/>
      <c r="G723" s="7"/>
      <c r="H723" s="7"/>
      <c r="I723" s="7"/>
      <c r="J723" s="7"/>
      <c r="K723" s="7"/>
      <c r="L723" s="7"/>
    </row>
    <row r="724" spans="1:12" ht="13" customHeight="1" x14ac:dyDescent="0.15">
      <c r="A724" s="48"/>
      <c r="B724" s="7"/>
      <c r="C724" s="5"/>
      <c r="D724" s="5"/>
      <c r="E724" s="5"/>
      <c r="F724" s="5"/>
      <c r="G724" s="7"/>
      <c r="H724" s="7"/>
      <c r="I724" s="7"/>
      <c r="J724" s="7"/>
      <c r="K724" s="7"/>
      <c r="L724" s="7"/>
    </row>
    <row r="725" spans="1:12" ht="13" customHeight="1" x14ac:dyDescent="0.15">
      <c r="A725" s="48"/>
      <c r="B725" s="7"/>
      <c r="C725" s="5"/>
      <c r="D725" s="5"/>
      <c r="E725" s="5"/>
      <c r="F725" s="5"/>
      <c r="G725" s="7"/>
      <c r="H725" s="7"/>
      <c r="I725" s="7"/>
      <c r="J725" s="7"/>
      <c r="K725" s="7"/>
      <c r="L725" s="7"/>
    </row>
    <row r="726" spans="1:12" ht="13" customHeight="1" x14ac:dyDescent="0.15">
      <c r="A726" s="48"/>
      <c r="B726" s="7"/>
      <c r="C726" s="5"/>
      <c r="D726" s="5"/>
      <c r="E726" s="5"/>
      <c r="F726" s="5"/>
      <c r="G726" s="7"/>
      <c r="H726" s="7"/>
      <c r="I726" s="7"/>
      <c r="J726" s="7"/>
      <c r="K726" s="7"/>
      <c r="L726" s="7"/>
    </row>
    <row r="727" spans="1:12" ht="13" customHeight="1" x14ac:dyDescent="0.15">
      <c r="A727" s="48"/>
      <c r="B727" s="7"/>
      <c r="C727" s="5"/>
      <c r="D727" s="5"/>
      <c r="E727" s="5"/>
      <c r="F727" s="5"/>
      <c r="G727" s="7"/>
      <c r="H727" s="7"/>
      <c r="I727" s="7"/>
      <c r="J727" s="7"/>
      <c r="K727" s="7"/>
      <c r="L727" s="7"/>
    </row>
    <row r="728" spans="1:12" ht="13" customHeight="1" x14ac:dyDescent="0.15">
      <c r="A728" s="48"/>
      <c r="B728" s="7"/>
      <c r="C728" s="5"/>
      <c r="D728" s="5"/>
      <c r="E728" s="5"/>
      <c r="F728" s="5"/>
      <c r="G728" s="7"/>
      <c r="H728" s="7"/>
      <c r="I728" s="7"/>
      <c r="J728" s="7"/>
      <c r="K728" s="7"/>
      <c r="L728" s="7"/>
    </row>
    <row r="729" spans="1:12" ht="13" customHeight="1" x14ac:dyDescent="0.15">
      <c r="A729" s="48"/>
      <c r="B729" s="7"/>
      <c r="C729" s="5"/>
      <c r="D729" s="5"/>
      <c r="E729" s="5"/>
      <c r="F729" s="5"/>
      <c r="G729" s="7"/>
      <c r="H729" s="7"/>
      <c r="I729" s="7"/>
      <c r="J729" s="7"/>
      <c r="K729" s="7"/>
      <c r="L729" s="7"/>
    </row>
    <row r="730" spans="1:12" ht="13" customHeight="1" x14ac:dyDescent="0.15">
      <c r="A730" s="48"/>
      <c r="B730" s="7"/>
      <c r="C730" s="5"/>
      <c r="D730" s="5"/>
      <c r="E730" s="5"/>
      <c r="F730" s="5"/>
      <c r="G730" s="7"/>
      <c r="H730" s="7"/>
      <c r="I730" s="7"/>
      <c r="J730" s="7"/>
      <c r="K730" s="7"/>
      <c r="L730" s="7"/>
    </row>
    <row r="731" spans="1:12" ht="13" customHeight="1" x14ac:dyDescent="0.15">
      <c r="A731" s="48"/>
      <c r="B731" s="7"/>
      <c r="C731" s="5"/>
      <c r="D731" s="5"/>
      <c r="E731" s="5"/>
      <c r="F731" s="5"/>
      <c r="G731" s="7"/>
      <c r="H731" s="7"/>
      <c r="I731" s="7"/>
      <c r="J731" s="7"/>
      <c r="K731" s="7"/>
      <c r="L731" s="7"/>
    </row>
    <row r="732" spans="1:12" ht="13" customHeight="1" x14ac:dyDescent="0.15">
      <c r="A732" s="48"/>
      <c r="B732" s="7"/>
      <c r="C732" s="5"/>
      <c r="D732" s="5"/>
      <c r="E732" s="5"/>
      <c r="F732" s="5"/>
      <c r="G732" s="7"/>
      <c r="H732" s="7"/>
      <c r="I732" s="7"/>
      <c r="J732" s="7"/>
      <c r="K732" s="7"/>
      <c r="L732" s="7"/>
    </row>
    <row r="733" spans="1:12" ht="13" customHeight="1" x14ac:dyDescent="0.15">
      <c r="A733" s="48"/>
      <c r="B733" s="7"/>
      <c r="C733" s="5"/>
      <c r="D733" s="5"/>
      <c r="E733" s="5"/>
      <c r="F733" s="5"/>
      <c r="G733" s="7"/>
      <c r="H733" s="7"/>
      <c r="I733" s="7"/>
      <c r="J733" s="7"/>
      <c r="K733" s="7"/>
      <c r="L733" s="7"/>
    </row>
    <row r="734" spans="1:12" ht="13" customHeight="1" x14ac:dyDescent="0.15">
      <c r="A734" s="48"/>
      <c r="B734" s="7"/>
      <c r="C734" s="5"/>
      <c r="D734" s="5"/>
      <c r="E734" s="5"/>
      <c r="F734" s="5"/>
      <c r="G734" s="7"/>
      <c r="H734" s="7"/>
      <c r="I734" s="7"/>
      <c r="J734" s="7"/>
      <c r="K734" s="7"/>
      <c r="L734" s="7"/>
    </row>
    <row r="735" spans="1:12" ht="13" customHeight="1" x14ac:dyDescent="0.15">
      <c r="A735" s="48"/>
      <c r="B735" s="7"/>
      <c r="C735" s="5"/>
      <c r="D735" s="5"/>
      <c r="E735" s="5"/>
      <c r="F735" s="5"/>
      <c r="G735" s="7"/>
      <c r="H735" s="7"/>
      <c r="I735" s="7"/>
      <c r="J735" s="7"/>
      <c r="K735" s="7"/>
      <c r="L735" s="7"/>
    </row>
    <row r="736" spans="1:12" ht="13" customHeight="1" x14ac:dyDescent="0.15">
      <c r="A736" s="48"/>
      <c r="B736" s="7"/>
      <c r="C736" s="5"/>
      <c r="D736" s="5"/>
      <c r="E736" s="5"/>
      <c r="F736" s="5"/>
      <c r="G736" s="7"/>
      <c r="H736" s="7"/>
      <c r="I736" s="7"/>
      <c r="J736" s="7"/>
      <c r="K736" s="7"/>
      <c r="L736" s="7"/>
    </row>
    <row r="737" spans="1:12" ht="13" customHeight="1" x14ac:dyDescent="0.15">
      <c r="A737" s="48"/>
      <c r="B737" s="7"/>
      <c r="C737" s="5"/>
      <c r="D737" s="5"/>
      <c r="E737" s="5"/>
      <c r="F737" s="5"/>
      <c r="G737" s="7"/>
      <c r="H737" s="7"/>
      <c r="I737" s="7"/>
      <c r="J737" s="7"/>
      <c r="K737" s="7"/>
      <c r="L737" s="7"/>
    </row>
    <row r="738" spans="1:12" ht="13" customHeight="1" x14ac:dyDescent="0.15">
      <c r="A738" s="48"/>
      <c r="B738" s="7"/>
      <c r="C738" s="5"/>
      <c r="D738" s="5"/>
      <c r="E738" s="5"/>
      <c r="F738" s="5"/>
      <c r="G738" s="7"/>
      <c r="H738" s="7"/>
      <c r="I738" s="7"/>
      <c r="J738" s="7"/>
      <c r="K738" s="7"/>
      <c r="L738" s="7"/>
    </row>
    <row r="739" spans="1:12" ht="13" customHeight="1" x14ac:dyDescent="0.15">
      <c r="A739" s="48"/>
      <c r="B739" s="7"/>
      <c r="C739" s="5"/>
      <c r="D739" s="5"/>
      <c r="E739" s="5"/>
      <c r="F739" s="5"/>
      <c r="G739" s="7"/>
      <c r="H739" s="7"/>
      <c r="I739" s="7"/>
      <c r="J739" s="7"/>
      <c r="K739" s="7"/>
      <c r="L739" s="7"/>
    </row>
    <row r="740" spans="1:12" ht="13" customHeight="1" x14ac:dyDescent="0.15">
      <c r="A740" s="48"/>
      <c r="B740" s="7"/>
      <c r="C740" s="5"/>
      <c r="D740" s="5"/>
      <c r="E740" s="5"/>
      <c r="F740" s="5"/>
      <c r="G740" s="7"/>
      <c r="H740" s="7"/>
      <c r="I740" s="7"/>
      <c r="J740" s="7"/>
      <c r="K740" s="7"/>
      <c r="L740" s="7"/>
    </row>
    <row r="741" spans="1:12" ht="13" customHeight="1" x14ac:dyDescent="0.15">
      <c r="A741" s="48"/>
      <c r="B741" s="7"/>
      <c r="C741" s="5"/>
      <c r="D741" s="5"/>
      <c r="E741" s="5"/>
      <c r="F741" s="5"/>
      <c r="G741" s="7"/>
      <c r="H741" s="7"/>
      <c r="I741" s="7"/>
      <c r="J741" s="7"/>
      <c r="K741" s="7"/>
      <c r="L741" s="7"/>
    </row>
    <row r="742" spans="1:12" ht="13" customHeight="1" x14ac:dyDescent="0.15">
      <c r="A742" s="48"/>
      <c r="B742" s="7"/>
      <c r="C742" s="5"/>
      <c r="D742" s="5"/>
      <c r="E742" s="5"/>
      <c r="F742" s="5"/>
      <c r="G742" s="7"/>
      <c r="H742" s="7"/>
      <c r="I742" s="7"/>
      <c r="J742" s="7"/>
      <c r="K742" s="7"/>
      <c r="L742" s="7"/>
    </row>
    <row r="743" spans="1:12" ht="13" customHeight="1" x14ac:dyDescent="0.15">
      <c r="A743" s="48"/>
      <c r="B743" s="7"/>
      <c r="C743" s="5"/>
      <c r="D743" s="5"/>
      <c r="E743" s="5"/>
      <c r="F743" s="5"/>
      <c r="G743" s="7"/>
      <c r="H743" s="7"/>
      <c r="I743" s="7"/>
      <c r="J743" s="7"/>
      <c r="K743" s="7"/>
      <c r="L743" s="7"/>
    </row>
    <row r="744" spans="1:12" ht="13" customHeight="1" x14ac:dyDescent="0.15">
      <c r="A744" s="48"/>
      <c r="B744" s="7"/>
      <c r="C744" s="5"/>
      <c r="D744" s="5"/>
      <c r="E744" s="5"/>
      <c r="F744" s="5"/>
      <c r="G744" s="7"/>
      <c r="H744" s="7"/>
      <c r="I744" s="7"/>
      <c r="J744" s="7"/>
      <c r="K744" s="7"/>
      <c r="L744" s="7"/>
    </row>
    <row r="745" spans="1:12" ht="13" customHeight="1" x14ac:dyDescent="0.15">
      <c r="A745" s="48"/>
      <c r="B745" s="7"/>
      <c r="C745" s="5"/>
      <c r="D745" s="5"/>
      <c r="E745" s="5"/>
      <c r="F745" s="5"/>
      <c r="G745" s="7"/>
      <c r="H745" s="7"/>
      <c r="I745" s="7"/>
      <c r="J745" s="7"/>
      <c r="K745" s="7"/>
      <c r="L745" s="7"/>
    </row>
    <row r="746" spans="1:12" ht="13" customHeight="1" x14ac:dyDescent="0.15">
      <c r="A746" s="48"/>
      <c r="B746" s="7"/>
      <c r="C746" s="5"/>
      <c r="D746" s="5"/>
      <c r="E746" s="5"/>
      <c r="F746" s="5"/>
      <c r="G746" s="7"/>
      <c r="H746" s="7"/>
      <c r="I746" s="7"/>
      <c r="J746" s="7"/>
      <c r="K746" s="7"/>
      <c r="L746" s="7"/>
    </row>
    <row r="747" spans="1:12" ht="13" customHeight="1" x14ac:dyDescent="0.15">
      <c r="A747" s="48"/>
      <c r="B747" s="7"/>
      <c r="C747" s="5"/>
      <c r="D747" s="5"/>
      <c r="E747" s="5"/>
      <c r="F747" s="5"/>
      <c r="G747" s="7"/>
      <c r="H747" s="7"/>
      <c r="I747" s="7"/>
      <c r="J747" s="7"/>
      <c r="K747" s="7"/>
      <c r="L747" s="7"/>
    </row>
    <row r="748" spans="1:12" ht="13" customHeight="1" x14ac:dyDescent="0.15">
      <c r="A748" s="48"/>
      <c r="B748" s="7"/>
      <c r="C748" s="5"/>
      <c r="D748" s="5"/>
      <c r="E748" s="5"/>
      <c r="F748" s="5"/>
      <c r="G748" s="7"/>
      <c r="H748" s="7"/>
      <c r="I748" s="7"/>
      <c r="J748" s="7"/>
      <c r="K748" s="7"/>
      <c r="L748" s="7"/>
    </row>
    <row r="749" spans="1:12" ht="13" customHeight="1" x14ac:dyDescent="0.15">
      <c r="A749" s="48"/>
      <c r="B749" s="7"/>
      <c r="C749" s="5"/>
      <c r="D749" s="5"/>
      <c r="E749" s="5"/>
      <c r="F749" s="5"/>
      <c r="G749" s="7"/>
      <c r="H749" s="7"/>
      <c r="I749" s="7"/>
      <c r="J749" s="7"/>
      <c r="K749" s="7"/>
      <c r="L749" s="7"/>
    </row>
    <row r="750" spans="1:12" ht="13" customHeight="1" x14ac:dyDescent="0.15">
      <c r="A750" s="48"/>
      <c r="B750" s="7"/>
      <c r="C750" s="5"/>
      <c r="D750" s="5"/>
      <c r="E750" s="5"/>
      <c r="F750" s="5"/>
      <c r="G750" s="7"/>
      <c r="H750" s="7"/>
      <c r="I750" s="7"/>
      <c r="J750" s="7"/>
      <c r="K750" s="7"/>
      <c r="L750" s="7"/>
    </row>
    <row r="751" spans="1:12" ht="13" customHeight="1" x14ac:dyDescent="0.15">
      <c r="A751" s="48"/>
      <c r="B751" s="7"/>
      <c r="C751" s="5"/>
      <c r="D751" s="5"/>
      <c r="E751" s="5"/>
      <c r="F751" s="5"/>
      <c r="G751" s="7"/>
      <c r="H751" s="7"/>
      <c r="I751" s="7"/>
      <c r="J751" s="7"/>
      <c r="K751" s="7"/>
      <c r="L751" s="7"/>
    </row>
    <row r="752" spans="1:12" ht="13" customHeight="1" x14ac:dyDescent="0.15">
      <c r="A752" s="48"/>
      <c r="B752" s="7"/>
      <c r="C752" s="5"/>
      <c r="D752" s="5"/>
      <c r="E752" s="5"/>
      <c r="F752" s="5"/>
      <c r="G752" s="7"/>
      <c r="H752" s="7"/>
      <c r="I752" s="7"/>
      <c r="J752" s="7"/>
      <c r="K752" s="7"/>
      <c r="L752" s="7"/>
    </row>
    <row r="753" spans="1:12" ht="13" customHeight="1" x14ac:dyDescent="0.15">
      <c r="A753" s="48"/>
      <c r="B753" s="7"/>
      <c r="C753" s="5"/>
      <c r="D753" s="5"/>
      <c r="E753" s="5"/>
      <c r="F753" s="5"/>
      <c r="G753" s="7"/>
      <c r="H753" s="7"/>
      <c r="I753" s="7"/>
      <c r="J753" s="7"/>
      <c r="K753" s="7"/>
      <c r="L753" s="7"/>
    </row>
    <row r="754" spans="1:12" ht="13" customHeight="1" x14ac:dyDescent="0.15">
      <c r="A754" s="48"/>
      <c r="B754" s="7"/>
      <c r="C754" s="5"/>
      <c r="D754" s="5"/>
      <c r="E754" s="5"/>
      <c r="F754" s="5"/>
      <c r="G754" s="7"/>
      <c r="H754" s="7"/>
      <c r="I754" s="7"/>
      <c r="J754" s="7"/>
      <c r="K754" s="7"/>
      <c r="L754" s="7"/>
    </row>
    <row r="755" spans="1:12" ht="13" customHeight="1" x14ac:dyDescent="0.15">
      <c r="A755" s="48"/>
      <c r="B755" s="7"/>
      <c r="C755" s="5"/>
      <c r="D755" s="5"/>
      <c r="E755" s="5"/>
      <c r="F755" s="5"/>
      <c r="G755" s="7"/>
      <c r="H755" s="7"/>
      <c r="I755" s="7"/>
      <c r="J755" s="7"/>
      <c r="K755" s="7"/>
      <c r="L755" s="7"/>
    </row>
    <row r="756" spans="1:12" ht="13" customHeight="1" x14ac:dyDescent="0.15">
      <c r="A756" s="48"/>
      <c r="B756" s="7"/>
      <c r="C756" s="5"/>
      <c r="D756" s="5"/>
      <c r="E756" s="5"/>
      <c r="F756" s="5"/>
      <c r="G756" s="7"/>
      <c r="H756" s="7"/>
      <c r="I756" s="7"/>
      <c r="J756" s="7"/>
      <c r="K756" s="7"/>
      <c r="L756" s="7"/>
    </row>
    <row r="757" spans="1:12" ht="13" customHeight="1" x14ac:dyDescent="0.15">
      <c r="A757" s="48"/>
      <c r="B757" s="7"/>
      <c r="C757" s="5"/>
      <c r="D757" s="5"/>
      <c r="E757" s="5"/>
      <c r="F757" s="5"/>
      <c r="G757" s="7"/>
      <c r="H757" s="7"/>
      <c r="I757" s="7"/>
      <c r="J757" s="7"/>
      <c r="K757" s="7"/>
      <c r="L757" s="7"/>
    </row>
    <row r="758" spans="1:12" ht="13" customHeight="1" x14ac:dyDescent="0.15">
      <c r="A758" s="48"/>
      <c r="B758" s="7"/>
      <c r="C758" s="5"/>
      <c r="D758" s="5"/>
      <c r="E758" s="5"/>
      <c r="F758" s="5"/>
      <c r="G758" s="7"/>
      <c r="H758" s="7"/>
      <c r="I758" s="7"/>
      <c r="J758" s="7"/>
      <c r="K758" s="7"/>
      <c r="L758" s="7"/>
    </row>
    <row r="759" spans="1:12" ht="13" customHeight="1" x14ac:dyDescent="0.15">
      <c r="A759" s="48"/>
      <c r="B759" s="7"/>
      <c r="C759" s="5"/>
      <c r="D759" s="5"/>
      <c r="E759" s="5"/>
      <c r="F759" s="5"/>
      <c r="G759" s="7"/>
      <c r="H759" s="7"/>
      <c r="I759" s="7"/>
      <c r="J759" s="7"/>
      <c r="K759" s="7"/>
      <c r="L759" s="7"/>
    </row>
    <row r="760" spans="1:12" ht="13" customHeight="1" x14ac:dyDescent="0.15">
      <c r="A760" s="48"/>
      <c r="B760" s="7"/>
      <c r="C760" s="5"/>
      <c r="D760" s="5"/>
      <c r="E760" s="5"/>
      <c r="F760" s="5"/>
      <c r="G760" s="7"/>
      <c r="H760" s="7"/>
      <c r="I760" s="7"/>
      <c r="J760" s="7"/>
      <c r="K760" s="7"/>
      <c r="L760" s="7"/>
    </row>
    <row r="761" spans="1:12" ht="13" customHeight="1" x14ac:dyDescent="0.15">
      <c r="A761" s="48"/>
      <c r="B761" s="7"/>
      <c r="C761" s="5"/>
      <c r="D761" s="5"/>
      <c r="E761" s="5"/>
      <c r="F761" s="5"/>
      <c r="G761" s="7"/>
      <c r="H761" s="7"/>
      <c r="I761" s="7"/>
      <c r="J761" s="7"/>
      <c r="K761" s="7"/>
      <c r="L761" s="7"/>
    </row>
    <row r="762" spans="1:12" ht="13" customHeight="1" x14ac:dyDescent="0.15">
      <c r="A762" s="48"/>
      <c r="B762" s="7"/>
      <c r="C762" s="5"/>
      <c r="D762" s="5"/>
      <c r="E762" s="5"/>
      <c r="F762" s="5"/>
      <c r="G762" s="7"/>
      <c r="H762" s="7"/>
      <c r="I762" s="7"/>
      <c r="J762" s="7"/>
      <c r="K762" s="7"/>
      <c r="L762" s="7"/>
    </row>
    <row r="763" spans="1:12" ht="13" customHeight="1" x14ac:dyDescent="0.15">
      <c r="A763" s="48"/>
      <c r="B763" s="7"/>
      <c r="C763" s="5"/>
      <c r="D763" s="5"/>
      <c r="E763" s="5"/>
      <c r="F763" s="5"/>
      <c r="G763" s="7"/>
      <c r="H763" s="7"/>
      <c r="I763" s="7"/>
      <c r="J763" s="7"/>
      <c r="K763" s="7"/>
      <c r="L763" s="7"/>
    </row>
    <row r="764" spans="1:12" ht="13" customHeight="1" x14ac:dyDescent="0.15">
      <c r="A764" s="48"/>
      <c r="B764" s="7"/>
      <c r="C764" s="5"/>
      <c r="D764" s="5"/>
      <c r="E764" s="5"/>
      <c r="F764" s="5"/>
      <c r="G764" s="7"/>
      <c r="H764" s="7"/>
      <c r="I764" s="7"/>
      <c r="J764" s="7"/>
      <c r="K764" s="7"/>
      <c r="L764" s="7"/>
    </row>
    <row r="765" spans="1:12" ht="13" customHeight="1" x14ac:dyDescent="0.15">
      <c r="A765" s="48"/>
      <c r="B765" s="7"/>
      <c r="C765" s="5"/>
      <c r="D765" s="5"/>
      <c r="E765" s="5"/>
      <c r="F765" s="5"/>
      <c r="G765" s="7"/>
      <c r="H765" s="7"/>
      <c r="I765" s="7"/>
      <c r="J765" s="7"/>
      <c r="K765" s="7"/>
      <c r="L765" s="7"/>
    </row>
    <row r="766" spans="1:12" ht="13" customHeight="1" x14ac:dyDescent="0.15">
      <c r="A766" s="48"/>
      <c r="B766" s="7"/>
      <c r="C766" s="5"/>
      <c r="D766" s="5"/>
      <c r="E766" s="5"/>
      <c r="F766" s="5"/>
      <c r="G766" s="7"/>
      <c r="H766" s="7"/>
      <c r="I766" s="7"/>
      <c r="J766" s="7"/>
      <c r="K766" s="7"/>
      <c r="L766" s="7"/>
    </row>
    <row r="767" spans="1:12" ht="13" customHeight="1" x14ac:dyDescent="0.15">
      <c r="A767" s="48"/>
      <c r="B767" s="7"/>
      <c r="C767" s="5"/>
      <c r="D767" s="5"/>
      <c r="E767" s="5"/>
      <c r="F767" s="5"/>
      <c r="G767" s="7"/>
      <c r="H767" s="7"/>
      <c r="I767" s="7"/>
      <c r="J767" s="7"/>
      <c r="K767" s="7"/>
      <c r="L767" s="7"/>
    </row>
    <row r="768" spans="1:12" ht="13" customHeight="1" x14ac:dyDescent="0.15">
      <c r="A768" s="48"/>
      <c r="B768" s="7"/>
      <c r="C768" s="5"/>
      <c r="D768" s="5"/>
      <c r="E768" s="5"/>
      <c r="F768" s="5"/>
      <c r="G768" s="7"/>
      <c r="H768" s="7"/>
      <c r="I768" s="7"/>
      <c r="J768" s="7"/>
      <c r="K768" s="7"/>
      <c r="L768" s="7"/>
    </row>
    <row r="769" spans="1:12" ht="13" customHeight="1" x14ac:dyDescent="0.15">
      <c r="A769" s="48"/>
      <c r="B769" s="7"/>
      <c r="C769" s="5"/>
      <c r="D769" s="5"/>
      <c r="E769" s="5"/>
      <c r="F769" s="5"/>
      <c r="G769" s="7"/>
      <c r="H769" s="7"/>
      <c r="I769" s="7"/>
      <c r="J769" s="7"/>
      <c r="K769" s="7"/>
      <c r="L769" s="7"/>
    </row>
    <row r="770" spans="1:12" ht="13" customHeight="1" x14ac:dyDescent="0.15">
      <c r="A770" s="48"/>
      <c r="B770" s="7"/>
      <c r="C770" s="5"/>
      <c r="D770" s="5"/>
      <c r="E770" s="5"/>
      <c r="F770" s="5"/>
      <c r="G770" s="7"/>
      <c r="H770" s="7"/>
      <c r="I770" s="7"/>
      <c r="J770" s="7"/>
      <c r="K770" s="7"/>
      <c r="L770" s="7"/>
    </row>
    <row r="771" spans="1:12" ht="13" customHeight="1" x14ac:dyDescent="0.15">
      <c r="A771" s="48"/>
      <c r="B771" s="7"/>
      <c r="C771" s="5"/>
      <c r="D771" s="5"/>
      <c r="E771" s="5"/>
      <c r="F771" s="5"/>
      <c r="G771" s="7"/>
      <c r="H771" s="7"/>
      <c r="I771" s="7"/>
      <c r="J771" s="7"/>
      <c r="K771" s="7"/>
      <c r="L771" s="7"/>
    </row>
    <row r="772" spans="1:12" ht="13" customHeight="1" x14ac:dyDescent="0.15">
      <c r="A772" s="48"/>
      <c r="B772" s="7"/>
      <c r="C772" s="5"/>
      <c r="D772" s="5"/>
      <c r="E772" s="5"/>
      <c r="F772" s="5"/>
      <c r="G772" s="7"/>
      <c r="H772" s="7"/>
      <c r="I772" s="7"/>
      <c r="J772" s="7"/>
      <c r="K772" s="7"/>
      <c r="L772" s="7"/>
    </row>
    <row r="773" spans="1:12" ht="13" customHeight="1" x14ac:dyDescent="0.15">
      <c r="A773" s="48"/>
      <c r="B773" s="7"/>
      <c r="C773" s="5"/>
      <c r="D773" s="5"/>
      <c r="E773" s="5"/>
      <c r="F773" s="5"/>
      <c r="G773" s="7"/>
      <c r="H773" s="7"/>
      <c r="I773" s="7"/>
      <c r="J773" s="7"/>
      <c r="K773" s="7"/>
      <c r="L773" s="7"/>
    </row>
    <row r="774" spans="1:12" ht="13" customHeight="1" x14ac:dyDescent="0.15">
      <c r="A774" s="48"/>
      <c r="B774" s="7"/>
      <c r="C774" s="5"/>
      <c r="D774" s="5"/>
      <c r="E774" s="5"/>
      <c r="F774" s="5"/>
      <c r="G774" s="7"/>
      <c r="H774" s="7"/>
      <c r="I774" s="7"/>
      <c r="J774" s="7"/>
      <c r="K774" s="7"/>
      <c r="L774" s="7"/>
    </row>
    <row r="775" spans="1:12" ht="13" customHeight="1" x14ac:dyDescent="0.15">
      <c r="A775" s="48"/>
      <c r="B775" s="7"/>
      <c r="C775" s="5"/>
      <c r="D775" s="5"/>
      <c r="E775" s="5"/>
      <c r="F775" s="5"/>
      <c r="G775" s="7"/>
      <c r="H775" s="7"/>
      <c r="I775" s="7"/>
      <c r="J775" s="7"/>
      <c r="K775" s="7"/>
      <c r="L775" s="7"/>
    </row>
    <row r="776" spans="1:12" ht="13" customHeight="1" x14ac:dyDescent="0.15">
      <c r="A776" s="48"/>
      <c r="B776" s="7"/>
      <c r="C776" s="5"/>
      <c r="D776" s="5"/>
      <c r="E776" s="5"/>
      <c r="F776" s="5"/>
      <c r="G776" s="7"/>
      <c r="H776" s="7"/>
      <c r="I776" s="7"/>
      <c r="J776" s="7"/>
      <c r="K776" s="7"/>
      <c r="L776" s="7"/>
    </row>
    <row r="777" spans="1:12" ht="13" customHeight="1" x14ac:dyDescent="0.15">
      <c r="A777" s="48"/>
      <c r="B777" s="7"/>
      <c r="C777" s="5"/>
      <c r="D777" s="5"/>
      <c r="E777" s="5"/>
      <c r="F777" s="5"/>
      <c r="G777" s="7"/>
      <c r="H777" s="7"/>
      <c r="I777" s="7"/>
      <c r="J777" s="7"/>
      <c r="K777" s="7"/>
      <c r="L777" s="7"/>
    </row>
    <row r="778" spans="1:12" ht="13" customHeight="1" x14ac:dyDescent="0.15">
      <c r="A778" s="48"/>
      <c r="B778" s="7"/>
      <c r="C778" s="5"/>
      <c r="D778" s="5"/>
      <c r="E778" s="5"/>
      <c r="F778" s="5"/>
      <c r="G778" s="7"/>
      <c r="H778" s="7"/>
      <c r="I778" s="7"/>
      <c r="J778" s="7"/>
      <c r="K778" s="7"/>
      <c r="L778" s="7"/>
    </row>
    <row r="779" spans="1:12" ht="13" customHeight="1" x14ac:dyDescent="0.15">
      <c r="A779" s="48"/>
      <c r="B779" s="7"/>
      <c r="C779" s="5"/>
      <c r="D779" s="5"/>
      <c r="E779" s="5"/>
      <c r="F779" s="5"/>
      <c r="G779" s="7"/>
      <c r="H779" s="7"/>
      <c r="I779" s="7"/>
      <c r="J779" s="7"/>
      <c r="K779" s="7"/>
      <c r="L779" s="7"/>
    </row>
    <row r="780" spans="1:12" ht="13" customHeight="1" x14ac:dyDescent="0.15">
      <c r="A780" s="48"/>
      <c r="B780" s="7"/>
      <c r="C780" s="5"/>
      <c r="D780" s="5"/>
      <c r="E780" s="5"/>
      <c r="F780" s="5"/>
      <c r="G780" s="7"/>
      <c r="H780" s="7"/>
      <c r="I780" s="7"/>
      <c r="J780" s="7"/>
      <c r="K780" s="7"/>
      <c r="L780" s="7"/>
    </row>
    <row r="781" spans="1:12" ht="13" customHeight="1" x14ac:dyDescent="0.15">
      <c r="A781" s="48"/>
      <c r="B781" s="7"/>
      <c r="C781" s="5"/>
      <c r="D781" s="5"/>
      <c r="E781" s="5"/>
      <c r="F781" s="5"/>
      <c r="G781" s="7"/>
      <c r="H781" s="7"/>
      <c r="I781" s="7"/>
      <c r="J781" s="7"/>
      <c r="K781" s="7"/>
      <c r="L781" s="7"/>
    </row>
    <row r="782" spans="1:12" ht="13" customHeight="1" x14ac:dyDescent="0.15">
      <c r="A782" s="48"/>
      <c r="B782" s="7"/>
      <c r="C782" s="5"/>
      <c r="D782" s="5"/>
      <c r="E782" s="5"/>
      <c r="F782" s="5"/>
      <c r="G782" s="7"/>
      <c r="H782" s="7"/>
      <c r="I782" s="7"/>
      <c r="J782" s="7"/>
      <c r="K782" s="7"/>
      <c r="L782" s="7"/>
    </row>
    <row r="783" spans="1:12" ht="13" customHeight="1" x14ac:dyDescent="0.15">
      <c r="A783" s="48"/>
      <c r="B783" s="7"/>
      <c r="C783" s="5"/>
      <c r="D783" s="5"/>
      <c r="E783" s="5"/>
      <c r="F783" s="5"/>
      <c r="G783" s="7"/>
      <c r="H783" s="7"/>
      <c r="I783" s="7"/>
      <c r="J783" s="7"/>
      <c r="K783" s="7"/>
      <c r="L783" s="7"/>
    </row>
    <row r="784" spans="1:12" ht="13" customHeight="1" x14ac:dyDescent="0.15">
      <c r="A784" s="48"/>
      <c r="B784" s="7"/>
      <c r="C784" s="5"/>
      <c r="D784" s="5"/>
      <c r="E784" s="5"/>
      <c r="F784" s="5"/>
      <c r="G784" s="7"/>
      <c r="H784" s="7"/>
      <c r="I784" s="7"/>
      <c r="J784" s="7"/>
      <c r="K784" s="7"/>
      <c r="L784" s="7"/>
    </row>
    <row r="785" spans="1:12" ht="13" customHeight="1" x14ac:dyDescent="0.15">
      <c r="A785" s="48"/>
      <c r="B785" s="7"/>
      <c r="C785" s="5"/>
      <c r="D785" s="5"/>
      <c r="E785" s="5"/>
      <c r="F785" s="5"/>
      <c r="G785" s="7"/>
      <c r="H785" s="7"/>
      <c r="I785" s="7"/>
      <c r="J785" s="7"/>
      <c r="K785" s="7"/>
      <c r="L785" s="7"/>
    </row>
    <row r="786" spans="1:12" ht="13" customHeight="1" x14ac:dyDescent="0.15">
      <c r="A786" s="48"/>
      <c r="B786" s="7"/>
      <c r="C786" s="5"/>
      <c r="D786" s="5"/>
      <c r="E786" s="5"/>
      <c r="F786" s="5"/>
      <c r="G786" s="7"/>
      <c r="H786" s="7"/>
      <c r="I786" s="7"/>
      <c r="J786" s="7"/>
      <c r="K786" s="7"/>
      <c r="L786" s="7"/>
    </row>
    <row r="787" spans="1:12" ht="13" customHeight="1" x14ac:dyDescent="0.15">
      <c r="A787" s="48"/>
      <c r="B787" s="7"/>
      <c r="C787" s="5"/>
      <c r="D787" s="5"/>
      <c r="E787" s="5"/>
      <c r="F787" s="5"/>
      <c r="G787" s="7"/>
      <c r="H787" s="7"/>
      <c r="I787" s="7"/>
      <c r="J787" s="7"/>
      <c r="K787" s="7"/>
      <c r="L787" s="7"/>
    </row>
    <row r="788" spans="1:12" ht="13" customHeight="1" x14ac:dyDescent="0.15">
      <c r="A788" s="48"/>
      <c r="B788" s="7"/>
      <c r="C788" s="5"/>
      <c r="D788" s="5"/>
      <c r="E788" s="5"/>
      <c r="F788" s="5"/>
      <c r="G788" s="7"/>
      <c r="H788" s="7"/>
      <c r="I788" s="7"/>
      <c r="J788" s="7"/>
      <c r="K788" s="7"/>
      <c r="L788" s="7"/>
    </row>
    <row r="789" spans="1:12" ht="13" customHeight="1" x14ac:dyDescent="0.15">
      <c r="A789" s="48"/>
      <c r="B789" s="7"/>
      <c r="C789" s="5"/>
      <c r="D789" s="5"/>
      <c r="E789" s="5"/>
      <c r="F789" s="5"/>
      <c r="G789" s="7"/>
      <c r="H789" s="7"/>
      <c r="I789" s="7"/>
      <c r="J789" s="7"/>
      <c r="K789" s="7"/>
      <c r="L789" s="7"/>
    </row>
    <row r="790" spans="1:12" ht="13" customHeight="1" x14ac:dyDescent="0.15">
      <c r="A790" s="48"/>
      <c r="B790" s="7"/>
      <c r="C790" s="5"/>
      <c r="D790" s="5"/>
      <c r="E790" s="5"/>
      <c r="F790" s="5"/>
      <c r="G790" s="7"/>
      <c r="H790" s="7"/>
      <c r="I790" s="7"/>
      <c r="J790" s="7"/>
      <c r="K790" s="7"/>
      <c r="L790" s="7"/>
    </row>
    <row r="791" spans="1:12" ht="13" customHeight="1" x14ac:dyDescent="0.15">
      <c r="A791" s="48"/>
      <c r="B791" s="7"/>
      <c r="C791" s="5"/>
      <c r="D791" s="5"/>
      <c r="E791" s="5"/>
      <c r="F791" s="5"/>
      <c r="G791" s="7"/>
      <c r="H791" s="7"/>
      <c r="I791" s="7"/>
      <c r="J791" s="7"/>
      <c r="K791" s="7"/>
      <c r="L791" s="7"/>
    </row>
    <row r="792" spans="1:12" ht="13" customHeight="1" x14ac:dyDescent="0.15">
      <c r="A792" s="48"/>
      <c r="B792" s="7"/>
      <c r="C792" s="5"/>
      <c r="D792" s="5"/>
      <c r="E792" s="5"/>
      <c r="F792" s="5"/>
      <c r="G792" s="7"/>
      <c r="H792" s="7"/>
      <c r="I792" s="7"/>
      <c r="J792" s="7"/>
      <c r="K792" s="7"/>
      <c r="L792" s="7"/>
    </row>
    <row r="793" spans="1:12" ht="13" customHeight="1" x14ac:dyDescent="0.15">
      <c r="A793" s="48"/>
      <c r="B793" s="7"/>
      <c r="C793" s="5"/>
      <c r="D793" s="5"/>
      <c r="E793" s="5"/>
      <c r="F793" s="5"/>
      <c r="G793" s="7"/>
      <c r="H793" s="7"/>
      <c r="I793" s="7"/>
      <c r="J793" s="7"/>
      <c r="K793" s="7"/>
      <c r="L793" s="7"/>
    </row>
    <row r="794" spans="1:12" ht="13" customHeight="1" x14ac:dyDescent="0.15">
      <c r="A794" s="48"/>
      <c r="B794" s="7"/>
      <c r="C794" s="5"/>
      <c r="D794" s="5"/>
      <c r="E794" s="5"/>
      <c r="F794" s="5"/>
      <c r="G794" s="7"/>
      <c r="H794" s="7"/>
      <c r="I794" s="7"/>
      <c r="J794" s="7"/>
      <c r="K794" s="7"/>
      <c r="L794" s="7"/>
    </row>
    <row r="795" spans="1:12" ht="13" customHeight="1" x14ac:dyDescent="0.15">
      <c r="A795" s="48"/>
      <c r="B795" s="7"/>
      <c r="C795" s="5"/>
      <c r="D795" s="5"/>
      <c r="E795" s="5"/>
      <c r="F795" s="5"/>
      <c r="G795" s="7"/>
      <c r="H795" s="7"/>
      <c r="I795" s="7"/>
      <c r="J795" s="7"/>
      <c r="K795" s="7"/>
      <c r="L795" s="7"/>
    </row>
    <row r="796" spans="1:12" ht="13" customHeight="1" x14ac:dyDescent="0.15">
      <c r="A796" s="48"/>
      <c r="B796" s="7"/>
      <c r="C796" s="5"/>
      <c r="D796" s="5"/>
      <c r="E796" s="5"/>
      <c r="F796" s="5"/>
      <c r="G796" s="7"/>
      <c r="H796" s="7"/>
      <c r="I796" s="7"/>
      <c r="J796" s="7"/>
      <c r="K796" s="7"/>
      <c r="L796" s="7"/>
    </row>
    <row r="797" spans="1:12" ht="13" customHeight="1" x14ac:dyDescent="0.15">
      <c r="A797" s="48"/>
      <c r="B797" s="7"/>
      <c r="C797" s="5"/>
      <c r="D797" s="5"/>
      <c r="E797" s="5"/>
      <c r="F797" s="5"/>
      <c r="G797" s="7"/>
      <c r="H797" s="7"/>
      <c r="I797" s="7"/>
      <c r="J797" s="7"/>
      <c r="K797" s="7"/>
      <c r="L797" s="7"/>
    </row>
    <row r="798" spans="1:12" ht="13" customHeight="1" x14ac:dyDescent="0.15">
      <c r="A798" s="48"/>
      <c r="B798" s="7"/>
      <c r="C798" s="5"/>
      <c r="D798" s="5"/>
      <c r="E798" s="5"/>
      <c r="F798" s="5"/>
      <c r="G798" s="7"/>
      <c r="H798" s="7"/>
      <c r="I798" s="7"/>
      <c r="J798" s="7"/>
      <c r="K798" s="7"/>
      <c r="L798" s="7"/>
    </row>
    <row r="799" spans="1:12" ht="13" customHeight="1" x14ac:dyDescent="0.15">
      <c r="A799" s="48"/>
      <c r="B799" s="7"/>
      <c r="C799" s="5"/>
      <c r="D799" s="5"/>
      <c r="E799" s="5"/>
      <c r="F799" s="5"/>
      <c r="G799" s="7"/>
      <c r="H799" s="7"/>
      <c r="I799" s="7"/>
      <c r="J799" s="7"/>
      <c r="K799" s="7"/>
      <c r="L799" s="7"/>
    </row>
    <row r="800" spans="1:12" ht="13" customHeight="1" x14ac:dyDescent="0.15">
      <c r="A800" s="48"/>
      <c r="B800" s="7"/>
      <c r="C800" s="5"/>
      <c r="D800" s="5"/>
      <c r="E800" s="5"/>
      <c r="F800" s="5"/>
      <c r="G800" s="7"/>
      <c r="H800" s="7"/>
      <c r="I800" s="7"/>
      <c r="J800" s="7"/>
      <c r="K800" s="7"/>
      <c r="L800" s="7"/>
    </row>
    <row r="801" spans="1:12" ht="13" customHeight="1" x14ac:dyDescent="0.15">
      <c r="A801" s="48"/>
      <c r="B801" s="7"/>
      <c r="C801" s="5"/>
      <c r="D801" s="5"/>
      <c r="E801" s="5"/>
      <c r="F801" s="5"/>
      <c r="G801" s="7"/>
      <c r="H801" s="7"/>
      <c r="I801" s="7"/>
      <c r="J801" s="7"/>
      <c r="K801" s="7"/>
      <c r="L801" s="7"/>
    </row>
    <row r="802" spans="1:12" ht="13" customHeight="1" x14ac:dyDescent="0.15">
      <c r="A802" s="48"/>
      <c r="B802" s="7"/>
      <c r="C802" s="5"/>
      <c r="D802" s="5"/>
      <c r="E802" s="5"/>
      <c r="F802" s="5"/>
      <c r="G802" s="7"/>
      <c r="H802" s="7"/>
      <c r="I802" s="7"/>
      <c r="J802" s="7"/>
      <c r="K802" s="7"/>
      <c r="L802" s="7"/>
    </row>
    <row r="803" spans="1:12" ht="13" customHeight="1" x14ac:dyDescent="0.15">
      <c r="A803" s="48"/>
      <c r="B803" s="7"/>
      <c r="C803" s="5"/>
      <c r="D803" s="5"/>
      <c r="E803" s="5"/>
      <c r="F803" s="5"/>
      <c r="G803" s="7"/>
      <c r="H803" s="7"/>
      <c r="I803" s="7"/>
      <c r="J803" s="7"/>
      <c r="K803" s="7"/>
      <c r="L803" s="7"/>
    </row>
    <row r="804" spans="1:12" ht="13" customHeight="1" x14ac:dyDescent="0.15">
      <c r="A804" s="48"/>
      <c r="B804" s="7"/>
      <c r="C804" s="5"/>
      <c r="D804" s="5"/>
      <c r="E804" s="5"/>
      <c r="F804" s="5"/>
      <c r="G804" s="7"/>
      <c r="H804" s="7"/>
      <c r="I804" s="7"/>
      <c r="J804" s="7"/>
      <c r="K804" s="7"/>
      <c r="L804" s="7"/>
    </row>
    <row r="805" spans="1:12" ht="13" customHeight="1" x14ac:dyDescent="0.15">
      <c r="A805" s="48"/>
      <c r="B805" s="7"/>
      <c r="C805" s="5"/>
      <c r="D805" s="5"/>
      <c r="E805" s="5"/>
      <c r="F805" s="5"/>
      <c r="G805" s="7"/>
      <c r="H805" s="7"/>
      <c r="I805" s="7"/>
      <c r="J805" s="7"/>
      <c r="K805" s="7"/>
      <c r="L805" s="7"/>
    </row>
    <row r="806" spans="1:12" ht="13" customHeight="1" x14ac:dyDescent="0.15">
      <c r="A806" s="48"/>
      <c r="B806" s="7"/>
      <c r="C806" s="5"/>
      <c r="D806" s="5"/>
      <c r="E806" s="5"/>
      <c r="F806" s="5"/>
      <c r="G806" s="7"/>
      <c r="H806" s="7"/>
      <c r="I806" s="7"/>
      <c r="J806" s="7"/>
      <c r="K806" s="7"/>
      <c r="L806" s="7"/>
    </row>
    <row r="807" spans="1:12" ht="13" customHeight="1" x14ac:dyDescent="0.15">
      <c r="A807" s="48"/>
      <c r="B807" s="7"/>
      <c r="C807" s="5"/>
      <c r="D807" s="5"/>
      <c r="E807" s="5"/>
      <c r="F807" s="5"/>
      <c r="G807" s="7"/>
      <c r="H807" s="7"/>
      <c r="I807" s="7"/>
      <c r="J807" s="7"/>
      <c r="K807" s="7"/>
      <c r="L807" s="7"/>
    </row>
    <row r="808" spans="1:12" ht="13" customHeight="1" x14ac:dyDescent="0.15">
      <c r="A808" s="48"/>
      <c r="B808" s="7"/>
      <c r="C808" s="5"/>
      <c r="D808" s="5"/>
      <c r="E808" s="5"/>
      <c r="F808" s="5"/>
      <c r="G808" s="7"/>
      <c r="H808" s="7"/>
      <c r="I808" s="7"/>
      <c r="J808" s="7"/>
      <c r="K808" s="7"/>
      <c r="L808" s="7"/>
    </row>
    <row r="809" spans="1:12" ht="13" customHeight="1" x14ac:dyDescent="0.15">
      <c r="A809" s="48"/>
      <c r="B809" s="7"/>
      <c r="C809" s="5"/>
      <c r="D809" s="5"/>
      <c r="E809" s="5"/>
      <c r="F809" s="5"/>
      <c r="G809" s="7"/>
      <c r="H809" s="7"/>
      <c r="I809" s="7"/>
      <c r="J809" s="7"/>
      <c r="K809" s="7"/>
      <c r="L809" s="7"/>
    </row>
    <row r="810" spans="1:12" ht="13" customHeight="1" x14ac:dyDescent="0.15">
      <c r="A810" s="48"/>
      <c r="B810" s="7"/>
      <c r="C810" s="5"/>
      <c r="D810" s="5"/>
      <c r="E810" s="5"/>
      <c r="F810" s="5"/>
      <c r="G810" s="7"/>
      <c r="H810" s="7"/>
      <c r="I810" s="7"/>
      <c r="J810" s="7"/>
      <c r="K810" s="7"/>
      <c r="L810" s="7"/>
    </row>
    <row r="811" spans="1:12" ht="13" customHeight="1" x14ac:dyDescent="0.15">
      <c r="A811" s="48"/>
      <c r="B811" s="7"/>
      <c r="C811" s="5"/>
      <c r="D811" s="5"/>
      <c r="E811" s="5"/>
      <c r="F811" s="5"/>
      <c r="G811" s="7"/>
      <c r="H811" s="7"/>
      <c r="I811" s="7"/>
      <c r="J811" s="7"/>
      <c r="K811" s="7"/>
      <c r="L811" s="7"/>
    </row>
    <row r="812" spans="1:12" ht="13" customHeight="1" x14ac:dyDescent="0.15">
      <c r="A812" s="48"/>
      <c r="B812" s="7"/>
      <c r="C812" s="5"/>
      <c r="D812" s="5"/>
      <c r="E812" s="5"/>
      <c r="F812" s="5"/>
      <c r="G812" s="7"/>
      <c r="H812" s="7"/>
      <c r="I812" s="7"/>
      <c r="J812" s="7"/>
      <c r="K812" s="7"/>
      <c r="L812" s="7"/>
    </row>
    <row r="813" spans="1:12" ht="13" customHeight="1" x14ac:dyDescent="0.15">
      <c r="A813" s="48"/>
      <c r="B813" s="7"/>
      <c r="C813" s="5"/>
      <c r="D813" s="5"/>
      <c r="E813" s="5"/>
      <c r="F813" s="5"/>
      <c r="G813" s="7"/>
      <c r="H813" s="7"/>
      <c r="I813" s="7"/>
      <c r="J813" s="7"/>
      <c r="K813" s="7"/>
      <c r="L813" s="7"/>
    </row>
    <row r="814" spans="1:12" ht="13" customHeight="1" x14ac:dyDescent="0.15">
      <c r="A814" s="48"/>
      <c r="B814" s="7"/>
      <c r="C814" s="5"/>
      <c r="D814" s="5"/>
      <c r="E814" s="5"/>
      <c r="F814" s="5"/>
      <c r="G814" s="7"/>
      <c r="H814" s="7"/>
      <c r="I814" s="7"/>
      <c r="J814" s="7"/>
      <c r="K814" s="7"/>
      <c r="L814" s="7"/>
    </row>
    <row r="815" spans="1:12" ht="13" customHeight="1" x14ac:dyDescent="0.15">
      <c r="A815" s="48"/>
      <c r="B815" s="7"/>
      <c r="C815" s="5"/>
      <c r="D815" s="5"/>
      <c r="E815" s="5"/>
      <c r="F815" s="5"/>
      <c r="G815" s="7"/>
      <c r="H815" s="7"/>
      <c r="I815" s="7"/>
      <c r="J815" s="7"/>
      <c r="K815" s="7"/>
      <c r="L815" s="7"/>
    </row>
    <row r="816" spans="1:12" ht="13" customHeight="1" x14ac:dyDescent="0.15">
      <c r="A816" s="48"/>
      <c r="B816" s="7"/>
      <c r="C816" s="5"/>
      <c r="D816" s="5"/>
      <c r="E816" s="5"/>
      <c r="F816" s="5"/>
      <c r="G816" s="7"/>
      <c r="H816" s="7"/>
      <c r="I816" s="7"/>
      <c r="J816" s="7"/>
      <c r="K816" s="7"/>
      <c r="L816" s="7"/>
    </row>
    <row r="817" spans="1:12" ht="13" customHeight="1" x14ac:dyDescent="0.15">
      <c r="A817" s="48"/>
      <c r="B817" s="7"/>
      <c r="C817" s="5"/>
      <c r="D817" s="5"/>
      <c r="E817" s="5"/>
      <c r="F817" s="5"/>
      <c r="G817" s="7"/>
      <c r="H817" s="7"/>
      <c r="I817" s="7"/>
      <c r="J817" s="7"/>
      <c r="K817" s="7"/>
      <c r="L817" s="7"/>
    </row>
    <row r="818" spans="1:12" ht="13" customHeight="1" x14ac:dyDescent="0.15">
      <c r="A818" s="48"/>
      <c r="B818" s="7"/>
      <c r="C818" s="5"/>
      <c r="D818" s="5"/>
      <c r="E818" s="5"/>
      <c r="F818" s="5"/>
      <c r="G818" s="7"/>
      <c r="H818" s="7"/>
      <c r="I818" s="7"/>
      <c r="J818" s="7"/>
      <c r="K818" s="7"/>
      <c r="L818" s="7"/>
    </row>
    <row r="819" spans="1:12" ht="13" customHeight="1" x14ac:dyDescent="0.15">
      <c r="A819" s="48"/>
      <c r="B819" s="7"/>
      <c r="C819" s="5"/>
      <c r="D819" s="5"/>
      <c r="E819" s="5"/>
      <c r="F819" s="5"/>
      <c r="G819" s="7"/>
      <c r="H819" s="7"/>
      <c r="I819" s="7"/>
      <c r="J819" s="7"/>
      <c r="K819" s="7"/>
      <c r="L819" s="7"/>
    </row>
    <row r="820" spans="1:12" ht="13" customHeight="1" x14ac:dyDescent="0.15">
      <c r="A820" s="48"/>
      <c r="B820" s="7"/>
      <c r="C820" s="5"/>
      <c r="D820" s="5"/>
      <c r="E820" s="5"/>
      <c r="F820" s="5"/>
      <c r="G820" s="7"/>
      <c r="H820" s="7"/>
      <c r="I820" s="7"/>
      <c r="J820" s="7"/>
      <c r="K820" s="7"/>
      <c r="L820" s="7"/>
    </row>
    <row r="821" spans="1:12" ht="13" customHeight="1" x14ac:dyDescent="0.15">
      <c r="A821" s="48"/>
      <c r="B821" s="7"/>
      <c r="C821" s="5"/>
      <c r="D821" s="5"/>
      <c r="E821" s="5"/>
      <c r="F821" s="5"/>
      <c r="G821" s="7"/>
      <c r="H821" s="7"/>
      <c r="I821" s="7"/>
      <c r="J821" s="7"/>
      <c r="K821" s="7"/>
      <c r="L821" s="7"/>
    </row>
    <row r="822" spans="1:12" ht="13" customHeight="1" x14ac:dyDescent="0.15">
      <c r="A822" s="48"/>
      <c r="B822" s="7"/>
      <c r="C822" s="5"/>
      <c r="D822" s="5"/>
      <c r="E822" s="5"/>
      <c r="F822" s="5"/>
      <c r="G822" s="7"/>
      <c r="H822" s="7"/>
      <c r="I822" s="7"/>
      <c r="J822" s="7"/>
      <c r="K822" s="7"/>
      <c r="L822" s="7"/>
    </row>
    <row r="823" spans="1:12" ht="13" customHeight="1" x14ac:dyDescent="0.15">
      <c r="A823" s="48"/>
      <c r="B823" s="7"/>
      <c r="C823" s="5"/>
      <c r="D823" s="5"/>
      <c r="E823" s="5"/>
      <c r="F823" s="5"/>
      <c r="G823" s="7"/>
      <c r="H823" s="7"/>
      <c r="I823" s="7"/>
      <c r="J823" s="7"/>
      <c r="K823" s="7"/>
      <c r="L823" s="7"/>
    </row>
    <row r="824" spans="1:12" ht="13" customHeight="1" x14ac:dyDescent="0.15">
      <c r="A824" s="48"/>
      <c r="B824" s="7"/>
      <c r="C824" s="5"/>
      <c r="D824" s="5"/>
      <c r="E824" s="5"/>
      <c r="F824" s="5"/>
      <c r="G824" s="7"/>
      <c r="H824" s="7"/>
      <c r="I824" s="7"/>
      <c r="J824" s="7"/>
      <c r="K824" s="7"/>
      <c r="L824" s="7"/>
    </row>
    <row r="825" spans="1:12" ht="13" customHeight="1" x14ac:dyDescent="0.15">
      <c r="A825" s="48"/>
      <c r="B825" s="7"/>
      <c r="C825" s="5"/>
      <c r="D825" s="5"/>
      <c r="E825" s="5"/>
      <c r="F825" s="5"/>
      <c r="G825" s="7"/>
      <c r="H825" s="7"/>
      <c r="I825" s="7"/>
      <c r="J825" s="7"/>
      <c r="K825" s="7"/>
      <c r="L825" s="7"/>
    </row>
    <row r="826" spans="1:12" ht="13" customHeight="1" x14ac:dyDescent="0.15">
      <c r="A826" s="48"/>
      <c r="B826" s="7"/>
      <c r="C826" s="5"/>
      <c r="D826" s="5"/>
      <c r="E826" s="5"/>
      <c r="F826" s="5"/>
      <c r="G826" s="7"/>
      <c r="H826" s="7"/>
      <c r="I826" s="7"/>
      <c r="J826" s="7"/>
      <c r="K826" s="7"/>
      <c r="L826" s="7"/>
    </row>
    <row r="827" spans="1:12" ht="13" customHeight="1" x14ac:dyDescent="0.15">
      <c r="A827" s="48"/>
      <c r="B827" s="7"/>
      <c r="C827" s="5"/>
      <c r="D827" s="5"/>
      <c r="E827" s="5"/>
      <c r="F827" s="5"/>
      <c r="G827" s="7"/>
      <c r="H827" s="7"/>
      <c r="I827" s="7"/>
      <c r="J827" s="7"/>
      <c r="K827" s="7"/>
      <c r="L827" s="7"/>
    </row>
    <row r="828" spans="1:12" ht="13" customHeight="1" x14ac:dyDescent="0.15">
      <c r="A828" s="48"/>
      <c r="B828" s="7"/>
      <c r="C828" s="5"/>
      <c r="D828" s="5"/>
      <c r="E828" s="5"/>
      <c r="F828" s="5"/>
      <c r="G828" s="7"/>
      <c r="H828" s="7"/>
      <c r="I828" s="7"/>
      <c r="J828" s="7"/>
      <c r="K828" s="7"/>
      <c r="L828" s="7"/>
    </row>
    <row r="829" spans="1:12" ht="13" customHeight="1" x14ac:dyDescent="0.15">
      <c r="A829" s="48"/>
      <c r="B829" s="7"/>
      <c r="C829" s="5"/>
      <c r="D829" s="5"/>
      <c r="E829" s="5"/>
      <c r="F829" s="5"/>
      <c r="G829" s="7"/>
      <c r="H829" s="7"/>
      <c r="I829" s="7"/>
      <c r="J829" s="7"/>
      <c r="K829" s="7"/>
      <c r="L829" s="7"/>
    </row>
    <row r="830" spans="1:12" ht="13" customHeight="1" x14ac:dyDescent="0.15">
      <c r="A830" s="48"/>
      <c r="B830" s="7"/>
      <c r="C830" s="5"/>
      <c r="D830" s="5"/>
      <c r="E830" s="5"/>
      <c r="F830" s="5"/>
      <c r="G830" s="7"/>
      <c r="H830" s="7"/>
      <c r="I830" s="7"/>
      <c r="J830" s="7"/>
      <c r="K830" s="7"/>
      <c r="L830" s="7"/>
    </row>
    <row r="831" spans="1:12" ht="13" customHeight="1" x14ac:dyDescent="0.15">
      <c r="A831" s="48"/>
      <c r="B831" s="7"/>
      <c r="C831" s="5"/>
      <c r="D831" s="5"/>
      <c r="E831" s="5"/>
      <c r="F831" s="5"/>
      <c r="G831" s="7"/>
      <c r="H831" s="7"/>
      <c r="I831" s="7"/>
      <c r="J831" s="7"/>
      <c r="K831" s="7"/>
      <c r="L831" s="7"/>
    </row>
    <row r="832" spans="1:12" ht="13" customHeight="1" x14ac:dyDescent="0.15">
      <c r="A832" s="48"/>
      <c r="B832" s="7"/>
      <c r="C832" s="5"/>
      <c r="D832" s="5"/>
      <c r="E832" s="5"/>
      <c r="F832" s="5"/>
      <c r="G832" s="7"/>
      <c r="H832" s="7"/>
      <c r="I832" s="7"/>
      <c r="J832" s="7"/>
      <c r="K832" s="7"/>
      <c r="L832" s="7"/>
    </row>
    <row r="833" spans="1:12" ht="13" customHeight="1" x14ac:dyDescent="0.15">
      <c r="A833" s="48"/>
      <c r="B833" s="7"/>
      <c r="C833" s="5"/>
      <c r="D833" s="5"/>
      <c r="E833" s="5"/>
      <c r="F833" s="5"/>
      <c r="G833" s="7"/>
      <c r="H833" s="7"/>
      <c r="I833" s="7"/>
      <c r="J833" s="7"/>
      <c r="K833" s="7"/>
      <c r="L833" s="7"/>
    </row>
    <row r="834" spans="1:12" ht="13" customHeight="1" x14ac:dyDescent="0.15">
      <c r="A834" s="48"/>
      <c r="B834" s="7"/>
      <c r="C834" s="5"/>
      <c r="D834" s="5"/>
      <c r="E834" s="5"/>
      <c r="F834" s="5"/>
      <c r="G834" s="7"/>
      <c r="H834" s="7"/>
      <c r="I834" s="7"/>
      <c r="J834" s="7"/>
      <c r="K834" s="7"/>
      <c r="L834" s="7"/>
    </row>
    <row r="835" spans="1:12" ht="13" customHeight="1" x14ac:dyDescent="0.15">
      <c r="A835" s="48"/>
      <c r="B835" s="7"/>
      <c r="C835" s="5"/>
      <c r="D835" s="5"/>
      <c r="E835" s="5"/>
      <c r="F835" s="5"/>
      <c r="G835" s="7"/>
      <c r="H835" s="7"/>
      <c r="I835" s="7"/>
      <c r="J835" s="7"/>
      <c r="K835" s="7"/>
      <c r="L835" s="7"/>
    </row>
    <row r="836" spans="1:12" ht="13" customHeight="1" x14ac:dyDescent="0.15">
      <c r="A836" s="48"/>
      <c r="B836" s="7"/>
      <c r="C836" s="5"/>
      <c r="D836" s="5"/>
      <c r="E836" s="5"/>
      <c r="F836" s="5"/>
      <c r="G836" s="7"/>
      <c r="H836" s="7"/>
      <c r="I836" s="7"/>
      <c r="J836" s="7"/>
      <c r="K836" s="7"/>
      <c r="L836" s="7"/>
    </row>
    <row r="837" spans="1:12" ht="13" customHeight="1" x14ac:dyDescent="0.15">
      <c r="A837" s="48"/>
      <c r="B837" s="7"/>
      <c r="C837" s="5"/>
      <c r="D837" s="5"/>
      <c r="E837" s="5"/>
      <c r="F837" s="5"/>
      <c r="G837" s="7"/>
      <c r="H837" s="7"/>
      <c r="I837" s="7"/>
      <c r="J837" s="7"/>
      <c r="K837" s="7"/>
      <c r="L837" s="7"/>
    </row>
    <row r="838" spans="1:12" ht="13" customHeight="1" x14ac:dyDescent="0.15">
      <c r="A838" s="48"/>
      <c r="B838" s="7"/>
      <c r="C838" s="5"/>
      <c r="D838" s="5"/>
      <c r="E838" s="5"/>
      <c r="F838" s="5"/>
      <c r="G838" s="7"/>
      <c r="H838" s="7"/>
      <c r="I838" s="7"/>
      <c r="J838" s="7"/>
      <c r="K838" s="7"/>
      <c r="L838" s="7"/>
    </row>
    <row r="839" spans="1:12" ht="13" customHeight="1" x14ac:dyDescent="0.15">
      <c r="A839" s="48"/>
      <c r="B839" s="7"/>
      <c r="C839" s="5"/>
      <c r="D839" s="5"/>
      <c r="E839" s="5"/>
      <c r="F839" s="5"/>
      <c r="G839" s="7"/>
      <c r="H839" s="7"/>
      <c r="I839" s="7"/>
      <c r="J839" s="7"/>
      <c r="K839" s="7"/>
      <c r="L839" s="7"/>
    </row>
    <row r="840" spans="1:12" ht="13" customHeight="1" x14ac:dyDescent="0.15">
      <c r="A840" s="48"/>
      <c r="B840" s="7"/>
      <c r="C840" s="5"/>
      <c r="D840" s="5"/>
      <c r="E840" s="5"/>
      <c r="F840" s="5"/>
      <c r="G840" s="7"/>
      <c r="H840" s="7"/>
      <c r="I840" s="7"/>
      <c r="J840" s="7"/>
      <c r="K840" s="7"/>
      <c r="L840" s="7"/>
    </row>
    <row r="841" spans="1:12" ht="13" customHeight="1" x14ac:dyDescent="0.15">
      <c r="A841" s="48"/>
      <c r="B841" s="7"/>
      <c r="C841" s="5"/>
      <c r="D841" s="5"/>
      <c r="E841" s="5"/>
      <c r="F841" s="5"/>
      <c r="G841" s="7"/>
      <c r="H841" s="7"/>
      <c r="I841" s="7"/>
      <c r="J841" s="7"/>
      <c r="K841" s="7"/>
      <c r="L841" s="7"/>
    </row>
    <row r="842" spans="1:12" ht="13" customHeight="1" x14ac:dyDescent="0.15">
      <c r="A842" s="48"/>
      <c r="B842" s="7"/>
      <c r="C842" s="5"/>
      <c r="D842" s="5"/>
      <c r="E842" s="5"/>
      <c r="F842" s="5"/>
      <c r="G842" s="7"/>
      <c r="H842" s="7"/>
      <c r="I842" s="7"/>
      <c r="J842" s="7"/>
      <c r="K842" s="7"/>
      <c r="L842" s="7"/>
    </row>
    <row r="843" spans="1:12" ht="13" customHeight="1" x14ac:dyDescent="0.15">
      <c r="A843" s="48"/>
      <c r="B843" s="7"/>
      <c r="C843" s="5"/>
      <c r="D843" s="5"/>
      <c r="E843" s="5"/>
      <c r="F843" s="5"/>
      <c r="G843" s="7"/>
      <c r="H843" s="7"/>
      <c r="I843" s="7"/>
      <c r="J843" s="7"/>
      <c r="K843" s="7"/>
      <c r="L843" s="7"/>
    </row>
    <row r="844" spans="1:12" ht="13" customHeight="1" x14ac:dyDescent="0.15">
      <c r="A844" s="48"/>
      <c r="B844" s="7"/>
      <c r="C844" s="5"/>
      <c r="D844" s="5"/>
      <c r="E844" s="5"/>
      <c r="F844" s="5"/>
      <c r="G844" s="7"/>
      <c r="H844" s="7"/>
      <c r="I844" s="7"/>
      <c r="J844" s="7"/>
      <c r="K844" s="7"/>
      <c r="L844" s="7"/>
    </row>
    <row r="845" spans="1:12" ht="13" customHeight="1" x14ac:dyDescent="0.15">
      <c r="A845" s="48"/>
      <c r="B845" s="7"/>
      <c r="C845" s="5"/>
      <c r="D845" s="5"/>
      <c r="E845" s="5"/>
      <c r="F845" s="5"/>
      <c r="G845" s="7"/>
      <c r="H845" s="7"/>
      <c r="I845" s="7"/>
      <c r="J845" s="7"/>
      <c r="K845" s="7"/>
      <c r="L845" s="7"/>
    </row>
    <row r="846" spans="1:12" ht="13" customHeight="1" x14ac:dyDescent="0.15">
      <c r="A846" s="48"/>
      <c r="B846" s="7"/>
      <c r="C846" s="5"/>
      <c r="D846" s="5"/>
      <c r="E846" s="5"/>
      <c r="F846" s="5"/>
      <c r="G846" s="7"/>
      <c r="H846" s="7"/>
      <c r="I846" s="7"/>
      <c r="J846" s="7"/>
      <c r="K846" s="7"/>
      <c r="L846" s="7"/>
    </row>
    <row r="847" spans="1:12" ht="13" customHeight="1" x14ac:dyDescent="0.15">
      <c r="A847" s="48"/>
      <c r="B847" s="7"/>
      <c r="C847" s="5"/>
      <c r="D847" s="5"/>
      <c r="E847" s="5"/>
      <c r="F847" s="5"/>
      <c r="G847" s="7"/>
      <c r="H847" s="7"/>
      <c r="I847" s="7"/>
      <c r="J847" s="7"/>
      <c r="K847" s="7"/>
      <c r="L847" s="7"/>
    </row>
    <row r="848" spans="1:12" ht="13" customHeight="1" x14ac:dyDescent="0.15">
      <c r="A848" s="48"/>
      <c r="B848" s="7"/>
      <c r="C848" s="5"/>
      <c r="D848" s="5"/>
      <c r="E848" s="5"/>
      <c r="F848" s="5"/>
      <c r="G848" s="7"/>
      <c r="H848" s="7"/>
      <c r="I848" s="7"/>
      <c r="J848" s="7"/>
      <c r="K848" s="7"/>
      <c r="L848" s="7"/>
    </row>
    <row r="849" spans="1:12" ht="13" customHeight="1" x14ac:dyDescent="0.15">
      <c r="A849" s="48"/>
      <c r="B849" s="7"/>
      <c r="C849" s="5"/>
      <c r="D849" s="5"/>
      <c r="E849" s="5"/>
      <c r="F849" s="5"/>
      <c r="G849" s="7"/>
      <c r="H849" s="7"/>
      <c r="I849" s="7"/>
      <c r="J849" s="7"/>
      <c r="K849" s="7"/>
      <c r="L849" s="7"/>
    </row>
    <row r="850" spans="1:12" ht="13" customHeight="1" x14ac:dyDescent="0.15">
      <c r="A850" s="48"/>
      <c r="B850" s="7"/>
      <c r="C850" s="5"/>
      <c r="D850" s="5"/>
      <c r="E850" s="5"/>
      <c r="F850" s="5"/>
      <c r="G850" s="7"/>
      <c r="H850" s="7"/>
      <c r="I850" s="7"/>
      <c r="J850" s="7"/>
      <c r="K850" s="7"/>
      <c r="L850" s="7"/>
    </row>
    <row r="851" spans="1:12" ht="13" customHeight="1" x14ac:dyDescent="0.15">
      <c r="A851" s="48"/>
      <c r="B851" s="7"/>
      <c r="C851" s="5"/>
      <c r="D851" s="5"/>
      <c r="E851" s="5"/>
      <c r="F851" s="5"/>
      <c r="G851" s="7"/>
      <c r="H851" s="7"/>
      <c r="I851" s="7"/>
      <c r="J851" s="7"/>
      <c r="K851" s="7"/>
      <c r="L851" s="7"/>
    </row>
    <row r="852" spans="1:12" ht="13" customHeight="1" x14ac:dyDescent="0.15">
      <c r="A852" s="48"/>
      <c r="B852" s="7"/>
      <c r="C852" s="5"/>
      <c r="D852" s="5"/>
      <c r="E852" s="5"/>
      <c r="F852" s="5"/>
      <c r="G852" s="7"/>
      <c r="H852" s="7"/>
      <c r="I852" s="7"/>
      <c r="J852" s="7"/>
      <c r="K852" s="7"/>
      <c r="L852" s="7"/>
    </row>
    <row r="853" spans="1:12" ht="13" customHeight="1" x14ac:dyDescent="0.15">
      <c r="A853" s="48"/>
      <c r="B853" s="7"/>
      <c r="C853" s="5"/>
      <c r="D853" s="5"/>
      <c r="E853" s="5"/>
      <c r="F853" s="5"/>
      <c r="G853" s="7"/>
      <c r="H853" s="7"/>
      <c r="I853" s="7"/>
      <c r="J853" s="7"/>
      <c r="K853" s="7"/>
      <c r="L853" s="7"/>
    </row>
    <row r="854" spans="1:12" ht="13" customHeight="1" x14ac:dyDescent="0.15">
      <c r="A854" s="48"/>
      <c r="B854" s="7"/>
      <c r="C854" s="5"/>
      <c r="D854" s="5"/>
      <c r="E854" s="5"/>
      <c r="F854" s="5"/>
      <c r="G854" s="7"/>
      <c r="H854" s="7"/>
      <c r="I854" s="7"/>
      <c r="J854" s="7"/>
      <c r="K854" s="7"/>
      <c r="L854" s="7"/>
    </row>
    <row r="855" spans="1:12" ht="13" customHeight="1" x14ac:dyDescent="0.15">
      <c r="A855" s="48"/>
      <c r="B855" s="7"/>
      <c r="C855" s="5"/>
      <c r="D855" s="5"/>
      <c r="E855" s="5"/>
      <c r="F855" s="5"/>
      <c r="G855" s="7"/>
      <c r="H855" s="7"/>
      <c r="I855" s="7"/>
      <c r="J855" s="7"/>
      <c r="K855" s="7"/>
      <c r="L855" s="7"/>
    </row>
    <row r="856" spans="1:12" ht="13" customHeight="1" x14ac:dyDescent="0.15">
      <c r="A856" s="48"/>
      <c r="B856" s="7"/>
      <c r="C856" s="5"/>
      <c r="D856" s="5"/>
      <c r="E856" s="5"/>
      <c r="F856" s="5"/>
      <c r="G856" s="7"/>
      <c r="H856" s="7"/>
      <c r="I856" s="7"/>
      <c r="J856" s="7"/>
      <c r="K856" s="7"/>
      <c r="L856" s="7"/>
    </row>
    <row r="857" spans="1:12" ht="13" customHeight="1" x14ac:dyDescent="0.15">
      <c r="A857" s="48"/>
      <c r="B857" s="7"/>
      <c r="C857" s="5"/>
      <c r="D857" s="5"/>
      <c r="E857" s="5"/>
      <c r="F857" s="5"/>
      <c r="G857" s="7"/>
      <c r="H857" s="7"/>
      <c r="I857" s="7"/>
      <c r="J857" s="7"/>
      <c r="K857" s="7"/>
      <c r="L857" s="7"/>
    </row>
    <row r="858" spans="1:12" ht="13" customHeight="1" x14ac:dyDescent="0.15">
      <c r="A858" s="48"/>
      <c r="B858" s="7"/>
      <c r="C858" s="5"/>
      <c r="D858" s="5"/>
      <c r="E858" s="5"/>
      <c r="F858" s="5"/>
      <c r="G858" s="7"/>
      <c r="H858" s="7"/>
      <c r="I858" s="7"/>
      <c r="J858" s="7"/>
      <c r="K858" s="7"/>
      <c r="L858" s="7"/>
    </row>
    <row r="859" spans="1:12" ht="13" customHeight="1" x14ac:dyDescent="0.15">
      <c r="A859" s="48"/>
      <c r="B859" s="7"/>
      <c r="C859" s="5"/>
      <c r="D859" s="5"/>
      <c r="E859" s="5"/>
      <c r="F859" s="5"/>
      <c r="G859" s="7"/>
      <c r="H859" s="7"/>
      <c r="I859" s="7"/>
      <c r="J859" s="7"/>
      <c r="K859" s="7"/>
      <c r="L859" s="7"/>
    </row>
    <row r="860" spans="1:12" ht="13" customHeight="1" x14ac:dyDescent="0.15">
      <c r="A860" s="48"/>
      <c r="B860" s="7"/>
      <c r="C860" s="5"/>
      <c r="D860" s="5"/>
      <c r="E860" s="5"/>
      <c r="F860" s="5"/>
      <c r="G860" s="7"/>
      <c r="H860" s="7"/>
      <c r="I860" s="7"/>
      <c r="J860" s="7"/>
      <c r="K860" s="7"/>
      <c r="L860" s="7"/>
    </row>
    <row r="861" spans="1:12" ht="13" customHeight="1" x14ac:dyDescent="0.15">
      <c r="A861" s="48"/>
      <c r="B861" s="7"/>
      <c r="C861" s="5"/>
      <c r="D861" s="5"/>
      <c r="E861" s="5"/>
      <c r="F861" s="5"/>
      <c r="G861" s="7"/>
      <c r="H861" s="7"/>
      <c r="I861" s="7"/>
      <c r="J861" s="7"/>
      <c r="K861" s="7"/>
      <c r="L861" s="7"/>
    </row>
    <row r="862" spans="1:12" ht="13" customHeight="1" x14ac:dyDescent="0.15">
      <c r="A862" s="48"/>
      <c r="B862" s="7"/>
      <c r="C862" s="5"/>
      <c r="D862" s="5"/>
      <c r="E862" s="5"/>
      <c r="F862" s="5"/>
      <c r="G862" s="7"/>
      <c r="H862" s="7"/>
      <c r="I862" s="7"/>
      <c r="J862" s="7"/>
      <c r="K862" s="7"/>
      <c r="L862" s="7"/>
    </row>
    <row r="863" spans="1:12" ht="13" customHeight="1" x14ac:dyDescent="0.15">
      <c r="A863" s="48"/>
      <c r="B863" s="7"/>
      <c r="C863" s="5"/>
      <c r="D863" s="5"/>
      <c r="E863" s="5"/>
      <c r="F863" s="5"/>
      <c r="G863" s="7"/>
      <c r="H863" s="7"/>
      <c r="I863" s="7"/>
      <c r="J863" s="7"/>
      <c r="K863" s="7"/>
      <c r="L863" s="7"/>
    </row>
    <row r="864" spans="1:12" ht="13" customHeight="1" x14ac:dyDescent="0.15">
      <c r="A864" s="48"/>
      <c r="B864" s="7"/>
      <c r="C864" s="5"/>
      <c r="D864" s="5"/>
      <c r="E864" s="5"/>
      <c r="F864" s="5"/>
      <c r="G864" s="7"/>
      <c r="H864" s="7"/>
      <c r="I864" s="7"/>
      <c r="J864" s="7"/>
      <c r="K864" s="7"/>
      <c r="L864" s="7"/>
    </row>
    <row r="865" spans="1:12" ht="13" customHeight="1" x14ac:dyDescent="0.15">
      <c r="A865" s="48"/>
      <c r="B865" s="7"/>
      <c r="C865" s="5"/>
      <c r="D865" s="5"/>
      <c r="E865" s="5"/>
      <c r="F865" s="5"/>
      <c r="G865" s="7"/>
      <c r="H865" s="7"/>
      <c r="I865" s="7"/>
      <c r="J865" s="7"/>
      <c r="K865" s="7"/>
      <c r="L865" s="7"/>
    </row>
    <row r="866" spans="1:12" ht="13" customHeight="1" x14ac:dyDescent="0.15">
      <c r="A866" s="48"/>
      <c r="B866" s="7"/>
      <c r="C866" s="5"/>
      <c r="D866" s="5"/>
      <c r="E866" s="5"/>
      <c r="F866" s="5"/>
      <c r="G866" s="7"/>
      <c r="H866" s="7"/>
      <c r="I866" s="7"/>
      <c r="J866" s="7"/>
      <c r="K866" s="7"/>
      <c r="L866" s="7"/>
    </row>
    <row r="867" spans="1:12" ht="13" customHeight="1" x14ac:dyDescent="0.15">
      <c r="A867" s="48"/>
      <c r="B867" s="7"/>
      <c r="C867" s="5"/>
      <c r="D867" s="5"/>
      <c r="E867" s="5"/>
      <c r="F867" s="5"/>
      <c r="G867" s="7"/>
      <c r="H867" s="7"/>
      <c r="I867" s="7"/>
      <c r="J867" s="7"/>
      <c r="K867" s="7"/>
      <c r="L867" s="7"/>
    </row>
    <row r="868" spans="1:12" ht="13" customHeight="1" x14ac:dyDescent="0.15">
      <c r="A868" s="48"/>
      <c r="B868" s="7"/>
      <c r="C868" s="5"/>
      <c r="D868" s="5"/>
      <c r="E868" s="5"/>
      <c r="F868" s="5"/>
      <c r="G868" s="7"/>
      <c r="H868" s="7"/>
      <c r="I868" s="7"/>
      <c r="J868" s="7"/>
      <c r="K868" s="7"/>
      <c r="L868" s="7"/>
    </row>
    <row r="869" spans="1:12" ht="13" customHeight="1" x14ac:dyDescent="0.15">
      <c r="A869" s="48"/>
      <c r="B869" s="7"/>
      <c r="C869" s="5"/>
      <c r="D869" s="5"/>
      <c r="E869" s="5"/>
      <c r="F869" s="5"/>
      <c r="G869" s="7"/>
      <c r="H869" s="7"/>
      <c r="I869" s="7"/>
      <c r="J869" s="7"/>
      <c r="K869" s="7"/>
      <c r="L869" s="7"/>
    </row>
    <row r="870" spans="1:12" ht="13" customHeight="1" x14ac:dyDescent="0.15">
      <c r="A870" s="48"/>
      <c r="B870" s="7"/>
      <c r="C870" s="5"/>
      <c r="D870" s="5"/>
      <c r="E870" s="5"/>
      <c r="F870" s="5"/>
      <c r="G870" s="7"/>
      <c r="H870" s="7"/>
      <c r="I870" s="7"/>
      <c r="J870" s="7"/>
      <c r="K870" s="7"/>
      <c r="L870" s="7"/>
    </row>
    <row r="871" spans="1:12" ht="13" customHeight="1" x14ac:dyDescent="0.15">
      <c r="A871" s="48"/>
      <c r="B871" s="7"/>
      <c r="C871" s="5"/>
      <c r="D871" s="5"/>
      <c r="E871" s="5"/>
      <c r="F871" s="5"/>
      <c r="G871" s="7"/>
      <c r="H871" s="7"/>
      <c r="I871" s="7"/>
      <c r="J871" s="7"/>
      <c r="K871" s="7"/>
      <c r="L871" s="7"/>
    </row>
    <row r="872" spans="1:12" ht="13" customHeight="1" x14ac:dyDescent="0.15">
      <c r="A872" s="48"/>
      <c r="B872" s="7"/>
      <c r="C872" s="5"/>
      <c r="D872" s="5"/>
      <c r="E872" s="5"/>
      <c r="F872" s="5"/>
      <c r="G872" s="7"/>
      <c r="H872" s="7"/>
      <c r="I872" s="7"/>
      <c r="J872" s="7"/>
      <c r="K872" s="7"/>
      <c r="L872" s="7"/>
    </row>
    <row r="873" spans="1:12" ht="13" customHeight="1" x14ac:dyDescent="0.15">
      <c r="A873" s="48"/>
      <c r="B873" s="7"/>
      <c r="C873" s="5"/>
      <c r="D873" s="5"/>
      <c r="E873" s="5"/>
      <c r="F873" s="5"/>
      <c r="G873" s="7"/>
      <c r="H873" s="7"/>
      <c r="I873" s="7"/>
      <c r="J873" s="7"/>
      <c r="K873" s="7"/>
      <c r="L873" s="7"/>
    </row>
    <row r="874" spans="1:12" ht="13" customHeight="1" x14ac:dyDescent="0.15">
      <c r="A874" s="48"/>
      <c r="B874" s="7"/>
      <c r="C874" s="5"/>
      <c r="D874" s="5"/>
      <c r="E874" s="5"/>
      <c r="F874" s="5"/>
      <c r="G874" s="7"/>
      <c r="H874" s="7"/>
      <c r="I874" s="7"/>
      <c r="J874" s="7"/>
      <c r="K874" s="7"/>
      <c r="L874" s="7"/>
    </row>
    <row r="875" spans="1:12" ht="13" customHeight="1" x14ac:dyDescent="0.15">
      <c r="A875" s="48"/>
      <c r="B875" s="7"/>
      <c r="C875" s="5"/>
      <c r="D875" s="5"/>
      <c r="E875" s="5"/>
      <c r="F875" s="5"/>
      <c r="G875" s="7"/>
      <c r="H875" s="7"/>
      <c r="I875" s="7"/>
      <c r="J875" s="7"/>
      <c r="K875" s="7"/>
      <c r="L875" s="7"/>
    </row>
    <row r="876" spans="1:12" ht="13" customHeight="1" x14ac:dyDescent="0.15">
      <c r="A876" s="48"/>
      <c r="B876" s="7"/>
      <c r="C876" s="5"/>
      <c r="D876" s="5"/>
      <c r="E876" s="5"/>
      <c r="F876" s="5"/>
      <c r="G876" s="7"/>
      <c r="H876" s="7"/>
      <c r="I876" s="7"/>
      <c r="J876" s="7"/>
      <c r="K876" s="7"/>
      <c r="L876" s="7"/>
    </row>
    <row r="877" spans="1:12" ht="13" customHeight="1" x14ac:dyDescent="0.15">
      <c r="A877" s="48"/>
      <c r="B877" s="7"/>
      <c r="C877" s="5"/>
      <c r="D877" s="5"/>
      <c r="E877" s="5"/>
      <c r="F877" s="5"/>
      <c r="G877" s="7"/>
      <c r="H877" s="7"/>
      <c r="I877" s="7"/>
      <c r="J877" s="7"/>
      <c r="K877" s="7"/>
      <c r="L877" s="7"/>
    </row>
    <row r="878" spans="1:12" ht="13" customHeight="1" x14ac:dyDescent="0.15">
      <c r="A878" s="48"/>
      <c r="B878" s="7"/>
      <c r="C878" s="5"/>
      <c r="D878" s="5"/>
      <c r="E878" s="5"/>
      <c r="F878" s="5"/>
      <c r="G878" s="7"/>
      <c r="H878" s="7"/>
      <c r="I878" s="7"/>
      <c r="J878" s="7"/>
      <c r="K878" s="7"/>
      <c r="L878" s="7"/>
    </row>
    <row r="879" spans="1:12" ht="13" customHeight="1" x14ac:dyDescent="0.15">
      <c r="A879" s="48"/>
      <c r="B879" s="7"/>
      <c r="C879" s="5"/>
      <c r="D879" s="5"/>
      <c r="E879" s="5"/>
      <c r="F879" s="5"/>
      <c r="G879" s="7"/>
      <c r="H879" s="7"/>
      <c r="I879" s="7"/>
      <c r="J879" s="7"/>
      <c r="K879" s="7"/>
      <c r="L879" s="7"/>
    </row>
    <row r="880" spans="1:12" ht="13" customHeight="1" x14ac:dyDescent="0.15">
      <c r="A880" s="48"/>
      <c r="B880" s="7"/>
      <c r="C880" s="5"/>
      <c r="D880" s="5"/>
      <c r="E880" s="5"/>
      <c r="F880" s="5"/>
      <c r="G880" s="7"/>
      <c r="H880" s="7"/>
      <c r="I880" s="7"/>
      <c r="J880" s="7"/>
      <c r="K880" s="7"/>
      <c r="L880" s="7"/>
    </row>
    <row r="881" spans="1:12" ht="13" customHeight="1" x14ac:dyDescent="0.15">
      <c r="A881" s="48"/>
      <c r="B881" s="7"/>
      <c r="C881" s="5"/>
      <c r="D881" s="5"/>
      <c r="E881" s="5"/>
      <c r="F881" s="5"/>
      <c r="G881" s="7"/>
      <c r="H881" s="7"/>
      <c r="I881" s="7"/>
      <c r="J881" s="7"/>
      <c r="K881" s="7"/>
      <c r="L881" s="7"/>
    </row>
    <row r="882" spans="1:12" ht="13" customHeight="1" x14ac:dyDescent="0.15">
      <c r="A882" s="48"/>
      <c r="B882" s="7"/>
      <c r="C882" s="5"/>
      <c r="D882" s="5"/>
      <c r="E882" s="5"/>
      <c r="F882" s="5"/>
      <c r="G882" s="7"/>
      <c r="H882" s="7"/>
      <c r="I882" s="7"/>
      <c r="J882" s="7"/>
      <c r="K882" s="7"/>
      <c r="L882" s="7"/>
    </row>
    <row r="883" spans="1:12" ht="13" customHeight="1" x14ac:dyDescent="0.15">
      <c r="A883" s="48"/>
      <c r="B883" s="7"/>
      <c r="C883" s="5"/>
      <c r="D883" s="5"/>
      <c r="E883" s="5"/>
      <c r="F883" s="5"/>
      <c r="G883" s="7"/>
      <c r="H883" s="7"/>
      <c r="I883" s="7"/>
      <c r="J883" s="7"/>
      <c r="K883" s="7"/>
      <c r="L883" s="7"/>
    </row>
    <row r="884" spans="1:12" ht="13" customHeight="1" x14ac:dyDescent="0.15">
      <c r="A884" s="48"/>
      <c r="B884" s="7"/>
      <c r="C884" s="5"/>
      <c r="D884" s="5"/>
      <c r="E884" s="5"/>
      <c r="F884" s="5"/>
      <c r="G884" s="7"/>
      <c r="H884" s="7"/>
      <c r="I884" s="7"/>
      <c r="J884" s="7"/>
      <c r="K884" s="7"/>
      <c r="L884" s="7"/>
    </row>
    <row r="885" spans="1:12" ht="13" customHeight="1" x14ac:dyDescent="0.15">
      <c r="A885" s="48"/>
      <c r="B885" s="7"/>
      <c r="C885" s="5"/>
      <c r="D885" s="5"/>
      <c r="E885" s="5"/>
      <c r="F885" s="5"/>
      <c r="G885" s="7"/>
      <c r="H885" s="7"/>
      <c r="I885" s="7"/>
      <c r="J885" s="7"/>
      <c r="K885" s="7"/>
      <c r="L885" s="7"/>
    </row>
    <row r="886" spans="1:12" ht="13" customHeight="1" x14ac:dyDescent="0.15">
      <c r="A886" s="48"/>
      <c r="B886" s="7"/>
      <c r="C886" s="5"/>
      <c r="D886" s="5"/>
      <c r="E886" s="5"/>
      <c r="F886" s="5"/>
      <c r="G886" s="7"/>
      <c r="H886" s="7"/>
      <c r="I886" s="7"/>
      <c r="J886" s="7"/>
      <c r="K886" s="7"/>
      <c r="L886" s="7"/>
    </row>
    <row r="887" spans="1:12" ht="13" customHeight="1" x14ac:dyDescent="0.15">
      <c r="A887" s="48"/>
      <c r="B887" s="7"/>
      <c r="C887" s="5"/>
      <c r="D887" s="5"/>
      <c r="E887" s="5"/>
      <c r="F887" s="5"/>
      <c r="G887" s="7"/>
      <c r="H887" s="7"/>
      <c r="I887" s="7"/>
      <c r="J887" s="7"/>
      <c r="K887" s="7"/>
      <c r="L887" s="7"/>
    </row>
    <row r="888" spans="1:12" ht="13" customHeight="1" x14ac:dyDescent="0.15">
      <c r="A888" s="48"/>
      <c r="B888" s="7"/>
      <c r="C888" s="5"/>
      <c r="D888" s="5"/>
      <c r="E888" s="5"/>
      <c r="F888" s="5"/>
      <c r="G888" s="7"/>
      <c r="H888" s="7"/>
      <c r="I888" s="7"/>
      <c r="J888" s="7"/>
      <c r="K888" s="7"/>
      <c r="L888" s="7"/>
    </row>
    <row r="889" spans="1:12" ht="13" customHeight="1" x14ac:dyDescent="0.15">
      <c r="A889" s="48"/>
      <c r="B889" s="7"/>
      <c r="C889" s="5"/>
      <c r="D889" s="5"/>
      <c r="E889" s="5"/>
      <c r="F889" s="5"/>
      <c r="G889" s="7"/>
      <c r="H889" s="7"/>
      <c r="I889" s="7"/>
      <c r="J889" s="7"/>
      <c r="K889" s="7"/>
      <c r="L889" s="7"/>
    </row>
    <row r="890" spans="1:12" ht="13" customHeight="1" x14ac:dyDescent="0.15">
      <c r="A890" s="48"/>
      <c r="B890" s="7"/>
      <c r="C890" s="5"/>
      <c r="D890" s="5"/>
      <c r="E890" s="5"/>
      <c r="F890" s="5"/>
      <c r="G890" s="7"/>
      <c r="H890" s="7"/>
      <c r="I890" s="7"/>
      <c r="J890" s="7"/>
      <c r="K890" s="7"/>
      <c r="L890" s="7"/>
    </row>
    <row r="891" spans="1:12" ht="13" customHeight="1" x14ac:dyDescent="0.15">
      <c r="A891" s="48"/>
      <c r="B891" s="7"/>
      <c r="C891" s="5"/>
      <c r="D891" s="5"/>
      <c r="E891" s="5"/>
      <c r="F891" s="5"/>
      <c r="G891" s="7"/>
      <c r="H891" s="7"/>
      <c r="I891" s="7"/>
      <c r="J891" s="7"/>
      <c r="K891" s="7"/>
      <c r="L891" s="7"/>
    </row>
    <row r="892" spans="1:12" ht="13" customHeight="1" x14ac:dyDescent="0.15">
      <c r="A892" s="48"/>
      <c r="B892" s="7"/>
      <c r="C892" s="5"/>
      <c r="D892" s="5"/>
      <c r="E892" s="5"/>
      <c r="F892" s="5"/>
      <c r="G892" s="7"/>
      <c r="H892" s="7"/>
      <c r="I892" s="7"/>
      <c r="J892" s="7"/>
      <c r="K892" s="7"/>
      <c r="L892" s="7"/>
    </row>
    <row r="893" spans="1:12" ht="13" customHeight="1" x14ac:dyDescent="0.15">
      <c r="A893" s="48"/>
      <c r="B893" s="7"/>
      <c r="C893" s="5"/>
      <c r="D893" s="5"/>
      <c r="E893" s="5"/>
      <c r="F893" s="5"/>
      <c r="G893" s="7"/>
      <c r="H893" s="7"/>
      <c r="I893" s="7"/>
      <c r="J893" s="7"/>
      <c r="K893" s="7"/>
      <c r="L893" s="7"/>
    </row>
    <row r="894" spans="1:12" ht="13" customHeight="1" x14ac:dyDescent="0.15">
      <c r="A894" s="48"/>
      <c r="B894" s="7"/>
      <c r="C894" s="5"/>
      <c r="D894" s="5"/>
      <c r="E894" s="5"/>
      <c r="F894" s="5"/>
      <c r="G894" s="7"/>
      <c r="H894" s="7"/>
      <c r="I894" s="7"/>
      <c r="J894" s="7"/>
      <c r="K894" s="7"/>
      <c r="L894" s="7"/>
    </row>
    <row r="895" spans="1:12" ht="13" customHeight="1" x14ac:dyDescent="0.15">
      <c r="A895" s="48"/>
      <c r="B895" s="7"/>
      <c r="C895" s="5"/>
      <c r="D895" s="5"/>
      <c r="E895" s="5"/>
      <c r="F895" s="5"/>
      <c r="G895" s="7"/>
      <c r="H895" s="7"/>
      <c r="I895" s="7"/>
      <c r="J895" s="7"/>
      <c r="K895" s="7"/>
      <c r="L895" s="7"/>
    </row>
    <row r="896" spans="1:12" ht="13" customHeight="1" x14ac:dyDescent="0.15">
      <c r="A896" s="48"/>
      <c r="B896" s="7"/>
      <c r="C896" s="5"/>
      <c r="D896" s="5"/>
      <c r="E896" s="5"/>
      <c r="F896" s="5"/>
      <c r="G896" s="7"/>
      <c r="H896" s="7"/>
      <c r="I896" s="7"/>
      <c r="J896" s="7"/>
      <c r="K896" s="7"/>
      <c r="L896" s="7"/>
    </row>
    <row r="897" spans="1:12" ht="13" customHeight="1" x14ac:dyDescent="0.15">
      <c r="A897" s="48"/>
      <c r="B897" s="7"/>
      <c r="C897" s="5"/>
      <c r="D897" s="5"/>
      <c r="E897" s="5"/>
      <c r="F897" s="5"/>
      <c r="G897" s="7"/>
      <c r="H897" s="7"/>
      <c r="I897" s="7"/>
      <c r="J897" s="7"/>
      <c r="K897" s="7"/>
      <c r="L897" s="7"/>
    </row>
    <row r="898" spans="1:12" ht="13" customHeight="1" x14ac:dyDescent="0.15">
      <c r="A898" s="48"/>
      <c r="B898" s="7"/>
      <c r="C898" s="5"/>
      <c r="D898" s="5"/>
      <c r="E898" s="5"/>
      <c r="F898" s="5"/>
      <c r="G898" s="7"/>
      <c r="H898" s="7"/>
      <c r="I898" s="7"/>
      <c r="J898" s="7"/>
      <c r="K898" s="7"/>
      <c r="L898" s="7"/>
    </row>
    <row r="899" spans="1:12" ht="13" customHeight="1" x14ac:dyDescent="0.15">
      <c r="A899" s="48"/>
      <c r="B899" s="7"/>
      <c r="C899" s="5"/>
      <c r="D899" s="5"/>
      <c r="E899" s="5"/>
      <c r="F899" s="5"/>
      <c r="G899" s="7"/>
      <c r="H899" s="7"/>
      <c r="I899" s="7"/>
      <c r="J899" s="7"/>
      <c r="K899" s="7"/>
      <c r="L899" s="7"/>
    </row>
    <row r="900" spans="1:12" ht="13" customHeight="1" x14ac:dyDescent="0.15">
      <c r="A900" s="48"/>
      <c r="B900" s="7"/>
      <c r="C900" s="5"/>
      <c r="D900" s="5"/>
      <c r="E900" s="5"/>
      <c r="F900" s="5"/>
      <c r="G900" s="7"/>
      <c r="H900" s="7"/>
      <c r="I900" s="7"/>
      <c r="J900" s="7"/>
      <c r="K900" s="7"/>
      <c r="L900" s="7"/>
    </row>
    <row r="901" spans="1:12" ht="13" customHeight="1" x14ac:dyDescent="0.15">
      <c r="A901" s="48"/>
      <c r="B901" s="7"/>
      <c r="C901" s="5"/>
      <c r="D901" s="5"/>
      <c r="E901" s="5"/>
      <c r="F901" s="5"/>
      <c r="G901" s="7"/>
      <c r="H901" s="7"/>
      <c r="I901" s="7"/>
      <c r="J901" s="7"/>
      <c r="K901" s="7"/>
      <c r="L901" s="7"/>
    </row>
    <row r="902" spans="1:12" ht="13" customHeight="1" x14ac:dyDescent="0.15">
      <c r="A902" s="48"/>
      <c r="B902" s="7"/>
      <c r="C902" s="5"/>
      <c r="D902" s="5"/>
      <c r="E902" s="5"/>
      <c r="F902" s="5"/>
      <c r="G902" s="7"/>
      <c r="H902" s="7"/>
      <c r="I902" s="7"/>
      <c r="J902" s="7"/>
      <c r="K902" s="7"/>
      <c r="L902" s="7"/>
    </row>
    <row r="903" spans="1:12" ht="13" customHeight="1" x14ac:dyDescent="0.15">
      <c r="A903" s="48"/>
      <c r="B903" s="7"/>
      <c r="C903" s="5"/>
      <c r="D903" s="5"/>
      <c r="E903" s="5"/>
      <c r="F903" s="5"/>
      <c r="G903" s="7"/>
      <c r="H903" s="7"/>
      <c r="I903" s="7"/>
      <c r="J903" s="7"/>
      <c r="K903" s="7"/>
      <c r="L903" s="7"/>
    </row>
    <row r="904" spans="1:12" ht="13" customHeight="1" x14ac:dyDescent="0.15">
      <c r="A904" s="48"/>
      <c r="B904" s="7"/>
      <c r="C904" s="5"/>
      <c r="D904" s="5"/>
      <c r="E904" s="5"/>
      <c r="F904" s="5"/>
      <c r="G904" s="7"/>
      <c r="H904" s="7"/>
      <c r="I904" s="7"/>
      <c r="J904" s="7"/>
      <c r="K904" s="7"/>
      <c r="L904" s="7"/>
    </row>
    <row r="905" spans="1:12" ht="13" customHeight="1" x14ac:dyDescent="0.15">
      <c r="A905" s="48"/>
      <c r="B905" s="7"/>
      <c r="C905" s="5"/>
      <c r="D905" s="5"/>
      <c r="E905" s="5"/>
      <c r="F905" s="5"/>
      <c r="G905" s="7"/>
      <c r="H905" s="7"/>
      <c r="I905" s="7"/>
      <c r="J905" s="7"/>
      <c r="K905" s="7"/>
      <c r="L905" s="7"/>
    </row>
    <row r="906" spans="1:12" ht="13" customHeight="1" x14ac:dyDescent="0.15">
      <c r="A906" s="48"/>
      <c r="B906" s="7"/>
      <c r="C906" s="5"/>
      <c r="D906" s="5"/>
      <c r="E906" s="5"/>
      <c r="F906" s="5"/>
      <c r="G906" s="7"/>
      <c r="H906" s="7"/>
      <c r="I906" s="7"/>
      <c r="J906" s="7"/>
      <c r="K906" s="7"/>
      <c r="L906" s="7"/>
    </row>
    <row r="907" spans="1:12" ht="13" customHeight="1" x14ac:dyDescent="0.15">
      <c r="A907" s="48"/>
      <c r="B907" s="7"/>
      <c r="C907" s="5"/>
      <c r="D907" s="5"/>
      <c r="E907" s="5"/>
      <c r="F907" s="5"/>
      <c r="G907" s="7"/>
      <c r="H907" s="7"/>
      <c r="I907" s="7"/>
      <c r="J907" s="7"/>
      <c r="K907" s="7"/>
      <c r="L907" s="7"/>
    </row>
    <row r="908" spans="1:12" ht="13" customHeight="1" x14ac:dyDescent="0.15">
      <c r="A908" s="48"/>
      <c r="B908" s="7"/>
      <c r="C908" s="5"/>
      <c r="D908" s="5"/>
      <c r="E908" s="5"/>
      <c r="F908" s="5"/>
      <c r="G908" s="7"/>
      <c r="H908" s="7"/>
      <c r="I908" s="7"/>
      <c r="J908" s="7"/>
      <c r="K908" s="7"/>
      <c r="L908" s="7"/>
    </row>
    <row r="909" spans="1:12" ht="13" customHeight="1" x14ac:dyDescent="0.15">
      <c r="A909" s="48"/>
      <c r="B909" s="7"/>
      <c r="C909" s="5"/>
      <c r="D909" s="5"/>
      <c r="E909" s="5"/>
      <c r="F909" s="5"/>
      <c r="G909" s="7"/>
      <c r="H909" s="7"/>
      <c r="I909" s="7"/>
      <c r="J909" s="7"/>
      <c r="K909" s="7"/>
      <c r="L909" s="7"/>
    </row>
    <row r="910" spans="1:12" ht="13" customHeight="1" x14ac:dyDescent="0.15">
      <c r="A910" s="48"/>
      <c r="B910" s="7"/>
      <c r="C910" s="5"/>
      <c r="D910" s="5"/>
      <c r="E910" s="5"/>
      <c r="F910" s="5"/>
      <c r="G910" s="7"/>
      <c r="H910" s="7"/>
      <c r="I910" s="7"/>
      <c r="J910" s="7"/>
      <c r="K910" s="7"/>
      <c r="L910" s="7"/>
    </row>
    <row r="911" spans="1:12" ht="13" customHeight="1" x14ac:dyDescent="0.15">
      <c r="A911" s="48"/>
      <c r="B911" s="7"/>
      <c r="C911" s="5"/>
      <c r="D911" s="5"/>
      <c r="E911" s="5"/>
      <c r="F911" s="5"/>
      <c r="G911" s="7"/>
      <c r="H911" s="7"/>
      <c r="I911" s="7"/>
      <c r="J911" s="7"/>
      <c r="K911" s="7"/>
      <c r="L911" s="7"/>
    </row>
    <row r="912" spans="1:12" ht="13" customHeight="1" x14ac:dyDescent="0.15">
      <c r="A912" s="48"/>
      <c r="B912" s="7"/>
      <c r="C912" s="5"/>
      <c r="D912" s="5"/>
      <c r="E912" s="5"/>
      <c r="F912" s="5"/>
      <c r="G912" s="7"/>
      <c r="H912" s="7"/>
      <c r="I912" s="7"/>
      <c r="J912" s="7"/>
      <c r="K912" s="7"/>
      <c r="L912" s="7"/>
    </row>
    <row r="913" spans="1:12" ht="13" customHeight="1" x14ac:dyDescent="0.15">
      <c r="A913" s="48"/>
      <c r="B913" s="7"/>
      <c r="C913" s="5"/>
      <c r="D913" s="5"/>
      <c r="E913" s="5"/>
      <c r="F913" s="5"/>
      <c r="G913" s="7"/>
      <c r="H913" s="7"/>
      <c r="I913" s="7"/>
      <c r="J913" s="7"/>
      <c r="K913" s="7"/>
      <c r="L913" s="7"/>
    </row>
    <row r="914" spans="1:12" ht="13" customHeight="1" x14ac:dyDescent="0.15">
      <c r="A914" s="48"/>
      <c r="B914" s="7"/>
      <c r="C914" s="5"/>
      <c r="D914" s="5"/>
      <c r="E914" s="5"/>
      <c r="F914" s="5"/>
      <c r="G914" s="7"/>
      <c r="H914" s="7"/>
      <c r="I914" s="7"/>
      <c r="J914" s="7"/>
      <c r="K914" s="7"/>
      <c r="L914" s="7"/>
    </row>
    <row r="915" spans="1:12" ht="13" customHeight="1" x14ac:dyDescent="0.15">
      <c r="A915" s="48"/>
      <c r="B915" s="7"/>
      <c r="C915" s="5"/>
      <c r="D915" s="5"/>
      <c r="E915" s="5"/>
      <c r="F915" s="5"/>
      <c r="G915" s="7"/>
      <c r="H915" s="7"/>
      <c r="I915" s="7"/>
      <c r="J915" s="7"/>
      <c r="K915" s="7"/>
      <c r="L915" s="7"/>
    </row>
    <row r="916" spans="1:12" ht="13" customHeight="1" x14ac:dyDescent="0.15">
      <c r="A916" s="48"/>
      <c r="B916" s="7"/>
      <c r="C916" s="5"/>
      <c r="D916" s="5"/>
      <c r="E916" s="5"/>
      <c r="F916" s="5"/>
      <c r="G916" s="7"/>
      <c r="H916" s="7"/>
      <c r="I916" s="7"/>
      <c r="J916" s="7"/>
      <c r="K916" s="7"/>
      <c r="L916" s="7"/>
    </row>
    <row r="917" spans="1:12" ht="13" customHeight="1" x14ac:dyDescent="0.15">
      <c r="A917" s="48"/>
      <c r="B917" s="7"/>
      <c r="C917" s="5"/>
      <c r="D917" s="5"/>
      <c r="E917" s="5"/>
      <c r="F917" s="5"/>
      <c r="G917" s="7"/>
      <c r="H917" s="7"/>
      <c r="I917" s="7"/>
      <c r="J917" s="7"/>
      <c r="K917" s="7"/>
      <c r="L917" s="7"/>
    </row>
    <row r="918" spans="1:12" ht="13" customHeight="1" x14ac:dyDescent="0.15">
      <c r="A918" s="48"/>
      <c r="B918" s="7"/>
      <c r="C918" s="5"/>
      <c r="D918" s="5"/>
      <c r="E918" s="5"/>
      <c r="F918" s="5"/>
      <c r="G918" s="7"/>
      <c r="H918" s="7"/>
      <c r="I918" s="7"/>
      <c r="J918" s="7"/>
      <c r="K918" s="7"/>
      <c r="L918" s="7"/>
    </row>
    <row r="919" spans="1:12" ht="13" customHeight="1" x14ac:dyDescent="0.15">
      <c r="A919" s="48"/>
      <c r="B919" s="7"/>
      <c r="C919" s="5"/>
      <c r="D919" s="5"/>
      <c r="E919" s="5"/>
      <c r="F919" s="5"/>
      <c r="G919" s="7"/>
      <c r="H919" s="7"/>
      <c r="I919" s="7"/>
      <c r="J919" s="7"/>
      <c r="K919" s="7"/>
      <c r="L919" s="7"/>
    </row>
    <row r="920" spans="1:12" ht="13" customHeight="1" x14ac:dyDescent="0.15">
      <c r="A920" s="48"/>
      <c r="B920" s="7"/>
      <c r="C920" s="5"/>
      <c r="D920" s="5"/>
      <c r="E920" s="5"/>
      <c r="F920" s="5"/>
      <c r="G920" s="7"/>
      <c r="H920" s="7"/>
      <c r="I920" s="7"/>
      <c r="J920" s="7"/>
      <c r="K920" s="7"/>
      <c r="L920" s="7"/>
    </row>
    <row r="921" spans="1:12" ht="13" customHeight="1" x14ac:dyDescent="0.15">
      <c r="A921" s="48"/>
      <c r="B921" s="7"/>
      <c r="C921" s="5"/>
      <c r="D921" s="5"/>
      <c r="E921" s="5"/>
      <c r="F921" s="5"/>
      <c r="G921" s="7"/>
      <c r="H921" s="7"/>
      <c r="I921" s="7"/>
      <c r="J921" s="7"/>
      <c r="K921" s="7"/>
      <c r="L921" s="7"/>
    </row>
    <row r="922" spans="1:12" ht="13" customHeight="1" x14ac:dyDescent="0.15">
      <c r="A922" s="48"/>
      <c r="B922" s="7"/>
      <c r="C922" s="5"/>
      <c r="D922" s="5"/>
      <c r="E922" s="5"/>
      <c r="F922" s="5"/>
      <c r="G922" s="7"/>
      <c r="H922" s="7"/>
      <c r="I922" s="7"/>
      <c r="J922" s="7"/>
      <c r="K922" s="7"/>
      <c r="L922" s="7"/>
    </row>
    <row r="923" spans="1:12" ht="13" customHeight="1" x14ac:dyDescent="0.15">
      <c r="A923" s="48"/>
      <c r="B923" s="7"/>
      <c r="C923" s="5"/>
      <c r="D923" s="5"/>
      <c r="E923" s="5"/>
      <c r="F923" s="5"/>
      <c r="G923" s="7"/>
      <c r="H923" s="7"/>
      <c r="I923" s="7"/>
      <c r="J923" s="7"/>
      <c r="K923" s="7"/>
      <c r="L923" s="7"/>
    </row>
    <row r="924" spans="1:12" ht="13" customHeight="1" x14ac:dyDescent="0.15">
      <c r="A924" s="48"/>
      <c r="B924" s="7"/>
      <c r="C924" s="5"/>
      <c r="D924" s="5"/>
      <c r="E924" s="5"/>
      <c r="F924" s="5"/>
      <c r="G924" s="7"/>
      <c r="H924" s="7"/>
      <c r="I924" s="7"/>
      <c r="J924" s="7"/>
      <c r="K924" s="7"/>
      <c r="L924" s="7"/>
    </row>
    <row r="925" spans="1:12" ht="13" customHeight="1" x14ac:dyDescent="0.15">
      <c r="A925" s="48"/>
      <c r="B925" s="7"/>
      <c r="C925" s="5"/>
      <c r="D925" s="5"/>
      <c r="E925" s="5"/>
      <c r="F925" s="5"/>
      <c r="G925" s="7"/>
      <c r="H925" s="7"/>
      <c r="I925" s="7"/>
      <c r="J925" s="7"/>
      <c r="K925" s="7"/>
      <c r="L925" s="7"/>
    </row>
    <row r="926" spans="1:12" ht="13" customHeight="1" x14ac:dyDescent="0.15">
      <c r="A926" s="48"/>
      <c r="B926" s="7"/>
      <c r="C926" s="5"/>
      <c r="D926" s="5"/>
      <c r="E926" s="5"/>
      <c r="F926" s="5"/>
      <c r="G926" s="7"/>
      <c r="H926" s="7"/>
      <c r="I926" s="7"/>
      <c r="J926" s="7"/>
      <c r="K926" s="7"/>
      <c r="L926" s="7"/>
    </row>
    <row r="927" spans="1:12" ht="13" customHeight="1" x14ac:dyDescent="0.15">
      <c r="A927" s="48"/>
      <c r="B927" s="7"/>
      <c r="C927" s="5"/>
      <c r="D927" s="5"/>
      <c r="E927" s="5"/>
      <c r="F927" s="5"/>
      <c r="G927" s="7"/>
      <c r="H927" s="7"/>
      <c r="I927" s="7"/>
      <c r="J927" s="7"/>
      <c r="K927" s="7"/>
      <c r="L927" s="7"/>
    </row>
    <row r="928" spans="1:12" ht="13" customHeight="1" x14ac:dyDescent="0.15">
      <c r="A928" s="48"/>
      <c r="B928" s="7"/>
      <c r="C928" s="5"/>
      <c r="D928" s="5"/>
      <c r="E928" s="5"/>
      <c r="F928" s="5"/>
      <c r="G928" s="7"/>
      <c r="H928" s="7"/>
      <c r="I928" s="7"/>
      <c r="J928" s="7"/>
      <c r="K928" s="7"/>
      <c r="L928" s="7"/>
    </row>
    <row r="929" spans="1:12" ht="13" customHeight="1" x14ac:dyDescent="0.15">
      <c r="A929" s="48"/>
      <c r="B929" s="7"/>
      <c r="C929" s="5"/>
      <c r="D929" s="5"/>
      <c r="E929" s="5"/>
      <c r="F929" s="5"/>
      <c r="G929" s="7"/>
      <c r="H929" s="7"/>
      <c r="I929" s="7"/>
      <c r="J929" s="7"/>
      <c r="K929" s="7"/>
      <c r="L929" s="7"/>
    </row>
    <row r="930" spans="1:12" ht="13" customHeight="1" x14ac:dyDescent="0.15">
      <c r="A930" s="48"/>
      <c r="B930" s="7"/>
      <c r="C930" s="5"/>
      <c r="D930" s="5"/>
      <c r="E930" s="5"/>
      <c r="F930" s="5"/>
      <c r="G930" s="7"/>
      <c r="H930" s="7"/>
      <c r="I930" s="7"/>
      <c r="J930" s="7"/>
      <c r="K930" s="7"/>
      <c r="L930" s="7"/>
    </row>
    <row r="931" spans="1:12" ht="13" customHeight="1" x14ac:dyDescent="0.15">
      <c r="A931" s="48"/>
      <c r="B931" s="7"/>
      <c r="C931" s="5"/>
      <c r="D931" s="5"/>
      <c r="E931" s="5"/>
      <c r="F931" s="5"/>
      <c r="G931" s="7"/>
      <c r="H931" s="7"/>
      <c r="I931" s="7"/>
      <c r="J931" s="7"/>
      <c r="K931" s="7"/>
      <c r="L931" s="7"/>
    </row>
    <row r="932" spans="1:12" ht="13" customHeight="1" x14ac:dyDescent="0.15">
      <c r="A932" s="48"/>
      <c r="B932" s="7"/>
      <c r="C932" s="5"/>
      <c r="D932" s="5"/>
      <c r="E932" s="5"/>
      <c r="F932" s="5"/>
      <c r="G932" s="7"/>
      <c r="H932" s="7"/>
      <c r="I932" s="7"/>
      <c r="J932" s="7"/>
      <c r="K932" s="7"/>
      <c r="L932" s="7"/>
    </row>
    <row r="933" spans="1:12" ht="13" customHeight="1" x14ac:dyDescent="0.15">
      <c r="A933" s="48"/>
      <c r="B933" s="7"/>
      <c r="C933" s="5"/>
      <c r="D933" s="5"/>
      <c r="E933" s="5"/>
      <c r="F933" s="5"/>
      <c r="G933" s="7"/>
      <c r="H933" s="7"/>
      <c r="I933" s="7"/>
      <c r="J933" s="7"/>
      <c r="K933" s="7"/>
      <c r="L933" s="7"/>
    </row>
    <row r="934" spans="1:12" ht="13" customHeight="1" x14ac:dyDescent="0.15">
      <c r="A934" s="48"/>
      <c r="B934" s="7"/>
      <c r="C934" s="5"/>
      <c r="D934" s="5"/>
      <c r="E934" s="5"/>
      <c r="F934" s="5"/>
      <c r="G934" s="7"/>
      <c r="H934" s="7"/>
      <c r="I934" s="7"/>
      <c r="J934" s="7"/>
      <c r="K934" s="7"/>
      <c r="L934" s="7"/>
    </row>
    <row r="935" spans="1:12" ht="13" customHeight="1" x14ac:dyDescent="0.15">
      <c r="A935" s="48"/>
      <c r="B935" s="7"/>
      <c r="C935" s="5"/>
      <c r="D935" s="5"/>
      <c r="E935" s="5"/>
      <c r="F935" s="5"/>
      <c r="G935" s="7"/>
      <c r="H935" s="7"/>
      <c r="I935" s="7"/>
      <c r="J935" s="7"/>
      <c r="K935" s="7"/>
      <c r="L935" s="7"/>
    </row>
    <row r="936" spans="1:12" ht="13" customHeight="1" x14ac:dyDescent="0.15">
      <c r="A936" s="48"/>
      <c r="B936" s="7"/>
      <c r="C936" s="5"/>
      <c r="D936" s="5"/>
      <c r="E936" s="5"/>
      <c r="F936" s="5"/>
      <c r="G936" s="7"/>
      <c r="H936" s="7"/>
      <c r="I936" s="7"/>
      <c r="J936" s="7"/>
      <c r="K936" s="7"/>
      <c r="L936" s="7"/>
    </row>
    <row r="937" spans="1:12" ht="13" customHeight="1" x14ac:dyDescent="0.15">
      <c r="A937" s="48"/>
      <c r="B937" s="7"/>
      <c r="C937" s="5"/>
      <c r="D937" s="5"/>
      <c r="E937" s="5"/>
      <c r="F937" s="5"/>
      <c r="G937" s="7"/>
      <c r="H937" s="7"/>
      <c r="I937" s="7"/>
      <c r="J937" s="7"/>
      <c r="K937" s="7"/>
      <c r="L937" s="7"/>
    </row>
    <row r="938" spans="1:12" ht="13" customHeight="1" x14ac:dyDescent="0.15">
      <c r="A938" s="48"/>
      <c r="B938" s="7"/>
      <c r="C938" s="5"/>
      <c r="D938" s="5"/>
      <c r="E938" s="5"/>
      <c r="F938" s="5"/>
      <c r="G938" s="7"/>
      <c r="H938" s="7"/>
      <c r="I938" s="7"/>
      <c r="J938" s="7"/>
      <c r="K938" s="7"/>
      <c r="L938" s="7"/>
    </row>
    <row r="939" spans="1:12" ht="13" customHeight="1" x14ac:dyDescent="0.15">
      <c r="A939" s="48"/>
      <c r="B939" s="7"/>
      <c r="C939" s="5"/>
      <c r="D939" s="5"/>
      <c r="E939" s="5"/>
      <c r="F939" s="5"/>
      <c r="G939" s="7"/>
      <c r="H939" s="7"/>
      <c r="I939" s="7"/>
      <c r="J939" s="7"/>
      <c r="K939" s="7"/>
      <c r="L939" s="7"/>
    </row>
    <row r="940" spans="1:12" ht="13" customHeight="1" x14ac:dyDescent="0.15">
      <c r="A940" s="48"/>
      <c r="B940" s="7"/>
      <c r="C940" s="5"/>
      <c r="D940" s="5"/>
      <c r="E940" s="5"/>
      <c r="F940" s="5"/>
      <c r="G940" s="7"/>
      <c r="H940" s="7"/>
      <c r="I940" s="7"/>
      <c r="J940" s="7"/>
      <c r="K940" s="7"/>
      <c r="L940" s="7"/>
    </row>
    <row r="941" spans="1:12" ht="13" customHeight="1" x14ac:dyDescent="0.15">
      <c r="A941" s="48"/>
      <c r="B941" s="7"/>
      <c r="C941" s="5"/>
      <c r="D941" s="5"/>
      <c r="E941" s="5"/>
      <c r="F941" s="5"/>
      <c r="G941" s="7"/>
      <c r="H941" s="7"/>
      <c r="I941" s="7"/>
      <c r="J941" s="7"/>
      <c r="K941" s="7"/>
      <c r="L941" s="7"/>
    </row>
    <row r="942" spans="1:12" ht="13" customHeight="1" x14ac:dyDescent="0.15">
      <c r="A942" s="48"/>
      <c r="B942" s="7"/>
      <c r="C942" s="5"/>
      <c r="D942" s="5"/>
      <c r="E942" s="5"/>
      <c r="F942" s="5"/>
      <c r="G942" s="7"/>
      <c r="H942" s="7"/>
      <c r="I942" s="7"/>
      <c r="J942" s="7"/>
      <c r="K942" s="7"/>
      <c r="L942" s="7"/>
    </row>
    <row r="943" spans="1:12" ht="13" customHeight="1" x14ac:dyDescent="0.15">
      <c r="A943" s="48"/>
      <c r="B943" s="7"/>
      <c r="C943" s="5"/>
      <c r="D943" s="5"/>
      <c r="E943" s="5"/>
      <c r="F943" s="5"/>
      <c r="G943" s="7"/>
      <c r="H943" s="7"/>
      <c r="I943" s="7"/>
      <c r="J943" s="7"/>
      <c r="K943" s="7"/>
      <c r="L943" s="7"/>
    </row>
    <row r="944" spans="1:12" ht="13" customHeight="1" x14ac:dyDescent="0.15">
      <c r="A944" s="48"/>
      <c r="B944" s="7"/>
      <c r="C944" s="5"/>
      <c r="D944" s="5"/>
      <c r="E944" s="5"/>
      <c r="F944" s="5"/>
      <c r="G944" s="7"/>
      <c r="H944" s="7"/>
      <c r="I944" s="7"/>
      <c r="J944" s="7"/>
      <c r="K944" s="7"/>
      <c r="L944" s="7"/>
    </row>
    <row r="945" spans="1:12" ht="13" customHeight="1" x14ac:dyDescent="0.15">
      <c r="A945" s="48"/>
      <c r="B945" s="7"/>
      <c r="C945" s="5"/>
      <c r="D945" s="5"/>
      <c r="E945" s="5"/>
      <c r="F945" s="5"/>
      <c r="G945" s="7"/>
      <c r="H945" s="7"/>
      <c r="I945" s="7"/>
      <c r="J945" s="7"/>
      <c r="K945" s="7"/>
      <c r="L945" s="7"/>
    </row>
    <row r="946" spans="1:12" ht="13" customHeight="1" x14ac:dyDescent="0.15">
      <c r="A946" s="48"/>
      <c r="B946" s="7"/>
      <c r="C946" s="5"/>
      <c r="D946" s="5"/>
      <c r="E946" s="5"/>
      <c r="F946" s="5"/>
      <c r="G946" s="7"/>
      <c r="H946" s="7"/>
      <c r="I946" s="7"/>
      <c r="J946" s="7"/>
      <c r="K946" s="7"/>
      <c r="L946" s="7"/>
    </row>
    <row r="947" spans="1:12" ht="13" customHeight="1" x14ac:dyDescent="0.15">
      <c r="A947" s="48"/>
      <c r="B947" s="7"/>
      <c r="C947" s="5"/>
      <c r="D947" s="5"/>
      <c r="E947" s="5"/>
      <c r="F947" s="5"/>
      <c r="G947" s="7"/>
      <c r="H947" s="7"/>
      <c r="I947" s="7"/>
      <c r="J947" s="7"/>
      <c r="K947" s="7"/>
      <c r="L947" s="7"/>
    </row>
    <row r="948" spans="1:12" ht="13" customHeight="1" x14ac:dyDescent="0.15">
      <c r="A948" s="48"/>
      <c r="B948" s="7"/>
      <c r="C948" s="5"/>
      <c r="D948" s="5"/>
      <c r="E948" s="5"/>
      <c r="F948" s="5"/>
      <c r="G948" s="7"/>
      <c r="H948" s="7"/>
      <c r="I948" s="7"/>
      <c r="J948" s="7"/>
      <c r="K948" s="7"/>
      <c r="L948" s="7"/>
    </row>
    <row r="949" spans="1:12" ht="13" customHeight="1" x14ac:dyDescent="0.15">
      <c r="A949" s="48"/>
      <c r="B949" s="7"/>
      <c r="C949" s="5"/>
      <c r="D949" s="5"/>
      <c r="E949" s="5"/>
      <c r="F949" s="5"/>
      <c r="G949" s="7"/>
      <c r="H949" s="7"/>
      <c r="I949" s="7"/>
      <c r="J949" s="7"/>
      <c r="K949" s="7"/>
      <c r="L949" s="7"/>
    </row>
    <row r="950" spans="1:12" ht="13" customHeight="1" x14ac:dyDescent="0.15">
      <c r="A950" s="48"/>
      <c r="B950" s="7"/>
      <c r="C950" s="5"/>
      <c r="D950" s="5"/>
      <c r="E950" s="5"/>
      <c r="F950" s="5"/>
      <c r="G950" s="7"/>
      <c r="H950" s="7"/>
      <c r="I950" s="7"/>
      <c r="J950" s="7"/>
      <c r="K950" s="7"/>
      <c r="L950" s="7"/>
    </row>
    <row r="951" spans="1:12" ht="13" customHeight="1" x14ac:dyDescent="0.15">
      <c r="A951" s="48"/>
      <c r="B951" s="7"/>
      <c r="C951" s="5"/>
      <c r="D951" s="5"/>
      <c r="E951" s="5"/>
      <c r="F951" s="5"/>
      <c r="G951" s="7"/>
      <c r="H951" s="7"/>
      <c r="I951" s="7"/>
      <c r="J951" s="7"/>
      <c r="K951" s="7"/>
      <c r="L951" s="7"/>
    </row>
    <row r="952" spans="1:12" ht="13" customHeight="1" x14ac:dyDescent="0.15">
      <c r="A952" s="48"/>
      <c r="B952" s="7"/>
      <c r="C952" s="5"/>
      <c r="D952" s="5"/>
      <c r="E952" s="5"/>
      <c r="F952" s="5"/>
      <c r="G952" s="7"/>
      <c r="H952" s="7"/>
      <c r="I952" s="7"/>
      <c r="J952" s="7"/>
      <c r="K952" s="7"/>
      <c r="L952" s="7"/>
    </row>
    <row r="953" spans="1:12" ht="13" customHeight="1" x14ac:dyDescent="0.15">
      <c r="A953" s="48"/>
      <c r="B953" s="7"/>
      <c r="C953" s="5"/>
      <c r="D953" s="5"/>
      <c r="E953" s="5"/>
      <c r="F953" s="5"/>
      <c r="G953" s="7"/>
      <c r="H953" s="7"/>
      <c r="I953" s="7"/>
      <c r="J953" s="7"/>
      <c r="K953" s="7"/>
      <c r="L953" s="7"/>
    </row>
    <row r="954" spans="1:12" ht="13" customHeight="1" x14ac:dyDescent="0.15">
      <c r="A954" s="48"/>
      <c r="B954" s="7"/>
      <c r="C954" s="5"/>
      <c r="D954" s="5"/>
      <c r="E954" s="5"/>
      <c r="F954" s="5"/>
      <c r="G954" s="7"/>
      <c r="H954" s="7"/>
      <c r="I954" s="7"/>
      <c r="J954" s="7"/>
      <c r="K954" s="7"/>
      <c r="L954" s="7"/>
    </row>
    <row r="955" spans="1:12" ht="13" customHeight="1" x14ac:dyDescent="0.15">
      <c r="A955" s="48"/>
      <c r="B955" s="7"/>
      <c r="C955" s="5"/>
      <c r="D955" s="5"/>
      <c r="E955" s="5"/>
      <c r="F955" s="5"/>
      <c r="G955" s="7"/>
      <c r="H955" s="7"/>
      <c r="I955" s="7"/>
      <c r="J955" s="7"/>
      <c r="K955" s="7"/>
      <c r="L955" s="7"/>
    </row>
    <row r="956" spans="1:12" ht="13" customHeight="1" x14ac:dyDescent="0.15">
      <c r="A956" s="48"/>
      <c r="B956" s="7"/>
      <c r="C956" s="5"/>
      <c r="D956" s="5"/>
      <c r="E956" s="5"/>
      <c r="F956" s="5"/>
      <c r="G956" s="7"/>
      <c r="H956" s="7"/>
      <c r="I956" s="7"/>
      <c r="J956" s="7"/>
      <c r="K956" s="7"/>
      <c r="L956" s="7"/>
    </row>
    <row r="957" spans="1:12" ht="13" customHeight="1" x14ac:dyDescent="0.15">
      <c r="A957" s="48"/>
      <c r="B957" s="7"/>
      <c r="C957" s="5"/>
      <c r="D957" s="5"/>
      <c r="E957" s="5"/>
      <c r="F957" s="5"/>
      <c r="G957" s="7"/>
      <c r="H957" s="7"/>
      <c r="I957" s="7"/>
      <c r="J957" s="7"/>
      <c r="K957" s="7"/>
      <c r="L957" s="7"/>
    </row>
    <row r="958" spans="1:12" ht="13" customHeight="1" x14ac:dyDescent="0.15">
      <c r="A958" s="48"/>
      <c r="B958" s="7"/>
      <c r="C958" s="5"/>
      <c r="D958" s="5"/>
      <c r="E958" s="5"/>
      <c r="F958" s="5"/>
      <c r="G958" s="7"/>
      <c r="H958" s="7"/>
      <c r="I958" s="7"/>
      <c r="J958" s="7"/>
      <c r="K958" s="7"/>
      <c r="L958" s="7"/>
    </row>
    <row r="959" spans="1:12" ht="13" customHeight="1" x14ac:dyDescent="0.15">
      <c r="A959" s="48"/>
      <c r="B959" s="7"/>
      <c r="C959" s="5"/>
      <c r="D959" s="5"/>
      <c r="E959" s="5"/>
      <c r="F959" s="5"/>
      <c r="G959" s="7"/>
      <c r="H959" s="7"/>
      <c r="I959" s="7"/>
      <c r="J959" s="7"/>
      <c r="K959" s="7"/>
      <c r="L959" s="7"/>
    </row>
    <row r="960" spans="1:12" ht="13" customHeight="1" x14ac:dyDescent="0.15">
      <c r="A960" s="48"/>
      <c r="B960" s="7"/>
      <c r="C960" s="5"/>
      <c r="D960" s="5"/>
      <c r="E960" s="5"/>
      <c r="F960" s="5"/>
      <c r="G960" s="7"/>
      <c r="H960" s="7"/>
      <c r="I960" s="7"/>
      <c r="J960" s="7"/>
      <c r="K960" s="7"/>
      <c r="L960" s="7"/>
    </row>
    <row r="961" spans="1:12" ht="13" customHeight="1" x14ac:dyDescent="0.15">
      <c r="A961" s="48"/>
      <c r="B961" s="7"/>
      <c r="C961" s="5"/>
      <c r="D961" s="5"/>
      <c r="E961" s="5"/>
      <c r="F961" s="5"/>
      <c r="G961" s="7"/>
      <c r="H961" s="7"/>
      <c r="I961" s="7"/>
      <c r="J961" s="7"/>
      <c r="K961" s="7"/>
      <c r="L961" s="7"/>
    </row>
    <row r="962" spans="1:12" ht="13" customHeight="1" x14ac:dyDescent="0.15">
      <c r="A962" s="48"/>
      <c r="B962" s="7"/>
      <c r="C962" s="5"/>
      <c r="D962" s="5"/>
      <c r="E962" s="5"/>
      <c r="F962" s="5"/>
      <c r="G962" s="7"/>
      <c r="H962" s="7"/>
      <c r="I962" s="7"/>
      <c r="J962" s="7"/>
      <c r="K962" s="7"/>
      <c r="L962" s="7"/>
    </row>
    <row r="963" spans="1:12" ht="13" customHeight="1" x14ac:dyDescent="0.15">
      <c r="A963" s="48"/>
      <c r="B963" s="7"/>
      <c r="C963" s="5"/>
      <c r="D963" s="5"/>
      <c r="E963" s="5"/>
      <c r="F963" s="5"/>
      <c r="G963" s="7"/>
      <c r="H963" s="7"/>
      <c r="I963" s="7"/>
      <c r="J963" s="7"/>
      <c r="K963" s="7"/>
      <c r="L963" s="7"/>
    </row>
    <row r="964" spans="1:12" ht="13" customHeight="1" x14ac:dyDescent="0.15">
      <c r="A964" s="48"/>
      <c r="B964" s="7"/>
      <c r="C964" s="5"/>
      <c r="D964" s="5"/>
      <c r="E964" s="5"/>
      <c r="F964" s="5"/>
      <c r="G964" s="7"/>
      <c r="H964" s="7"/>
      <c r="I964" s="7"/>
      <c r="J964" s="7"/>
      <c r="K964" s="7"/>
      <c r="L964" s="7"/>
    </row>
    <row r="965" spans="1:12" ht="13" customHeight="1" x14ac:dyDescent="0.15">
      <c r="A965" s="48"/>
      <c r="B965" s="7"/>
      <c r="C965" s="5"/>
      <c r="D965" s="5"/>
      <c r="E965" s="5"/>
      <c r="F965" s="5"/>
      <c r="G965" s="7"/>
      <c r="H965" s="7"/>
      <c r="I965" s="7"/>
      <c r="J965" s="7"/>
      <c r="K965" s="7"/>
      <c r="L965" s="7"/>
    </row>
    <row r="966" spans="1:12" ht="13" customHeight="1" x14ac:dyDescent="0.15">
      <c r="A966" s="48"/>
      <c r="B966" s="7"/>
      <c r="C966" s="5"/>
      <c r="D966" s="5"/>
      <c r="E966" s="5"/>
      <c r="F966" s="5"/>
      <c r="G966" s="7"/>
      <c r="H966" s="7"/>
      <c r="I966" s="7"/>
      <c r="J966" s="7"/>
      <c r="K966" s="7"/>
      <c r="L966" s="7"/>
    </row>
    <row r="967" spans="1:12" ht="13" customHeight="1" x14ac:dyDescent="0.15">
      <c r="A967" s="48"/>
      <c r="B967" s="7"/>
      <c r="C967" s="5"/>
      <c r="D967" s="5"/>
      <c r="E967" s="5"/>
      <c r="F967" s="5"/>
      <c r="G967" s="7"/>
      <c r="H967" s="7"/>
      <c r="I967" s="7"/>
      <c r="J967" s="7"/>
      <c r="K967" s="7"/>
      <c r="L967" s="7"/>
    </row>
    <row r="968" spans="1:12" ht="13" customHeight="1" x14ac:dyDescent="0.15">
      <c r="A968" s="48"/>
      <c r="B968" s="7"/>
      <c r="C968" s="5"/>
      <c r="D968" s="5"/>
      <c r="E968" s="5"/>
      <c r="F968" s="5"/>
      <c r="G968" s="7"/>
      <c r="H968" s="7"/>
      <c r="I968" s="7"/>
      <c r="J968" s="7"/>
      <c r="K968" s="7"/>
      <c r="L968" s="7"/>
    </row>
    <row r="969" spans="1:12" ht="13" customHeight="1" x14ac:dyDescent="0.15">
      <c r="A969" s="48"/>
      <c r="B969" s="7"/>
      <c r="C969" s="5"/>
      <c r="D969" s="5"/>
      <c r="E969" s="5"/>
      <c r="F969" s="5"/>
      <c r="G969" s="7"/>
      <c r="H969" s="7"/>
      <c r="I969" s="7"/>
      <c r="J969" s="7"/>
      <c r="K969" s="7"/>
      <c r="L969" s="7"/>
    </row>
    <row r="970" spans="1:12" ht="13" customHeight="1" x14ac:dyDescent="0.15">
      <c r="A970" s="48"/>
      <c r="B970" s="7"/>
      <c r="C970" s="5"/>
      <c r="D970" s="5"/>
      <c r="E970" s="5"/>
      <c r="F970" s="5"/>
      <c r="G970" s="7"/>
      <c r="H970" s="7"/>
      <c r="I970" s="7"/>
      <c r="J970" s="7"/>
      <c r="K970" s="7"/>
      <c r="L970" s="7"/>
    </row>
    <row r="971" spans="1:12" ht="13" customHeight="1" x14ac:dyDescent="0.15">
      <c r="A971" s="48"/>
      <c r="B971" s="7"/>
      <c r="C971" s="5"/>
      <c r="D971" s="5"/>
      <c r="E971" s="5"/>
      <c r="F971" s="5"/>
      <c r="G971" s="7"/>
      <c r="H971" s="7"/>
      <c r="I971" s="7"/>
      <c r="J971" s="7"/>
      <c r="K971" s="7"/>
      <c r="L971" s="7"/>
    </row>
    <row r="972" spans="1:12" ht="13" customHeight="1" x14ac:dyDescent="0.15">
      <c r="A972" s="48"/>
      <c r="B972" s="7"/>
      <c r="C972" s="5"/>
      <c r="D972" s="5"/>
      <c r="E972" s="5"/>
      <c r="F972" s="5"/>
      <c r="G972" s="7"/>
      <c r="H972" s="7"/>
      <c r="I972" s="7"/>
      <c r="J972" s="7"/>
      <c r="K972" s="7"/>
      <c r="L972" s="7"/>
    </row>
    <row r="973" spans="1:12" ht="13" customHeight="1" x14ac:dyDescent="0.15">
      <c r="A973" s="48"/>
      <c r="B973" s="7"/>
      <c r="C973" s="5"/>
      <c r="D973" s="5"/>
      <c r="E973" s="5"/>
      <c r="F973" s="5"/>
      <c r="G973" s="7"/>
      <c r="H973" s="7"/>
      <c r="I973" s="7"/>
      <c r="J973" s="7"/>
      <c r="K973" s="7"/>
      <c r="L973" s="7"/>
    </row>
    <row r="974" spans="1:12" ht="13" customHeight="1" x14ac:dyDescent="0.15">
      <c r="A974" s="48"/>
      <c r="B974" s="7"/>
      <c r="C974" s="5"/>
      <c r="D974" s="5"/>
      <c r="E974" s="5"/>
      <c r="F974" s="5"/>
      <c r="G974" s="7"/>
      <c r="H974" s="7"/>
      <c r="I974" s="7"/>
      <c r="J974" s="7"/>
      <c r="K974" s="7"/>
      <c r="L974" s="7"/>
    </row>
    <row r="975" spans="1:12" ht="13" customHeight="1" x14ac:dyDescent="0.15">
      <c r="A975" s="48"/>
      <c r="B975" s="7"/>
      <c r="C975" s="5"/>
      <c r="D975" s="5"/>
      <c r="E975" s="5"/>
      <c r="F975" s="5"/>
      <c r="G975" s="7"/>
      <c r="H975" s="7"/>
      <c r="I975" s="7"/>
      <c r="J975" s="7"/>
      <c r="K975" s="7"/>
      <c r="L975" s="7"/>
    </row>
    <row r="976" spans="1:12" ht="13" customHeight="1" x14ac:dyDescent="0.15">
      <c r="A976" s="48"/>
      <c r="B976" s="7"/>
      <c r="C976" s="5"/>
      <c r="D976" s="5"/>
      <c r="E976" s="5"/>
      <c r="F976" s="5"/>
      <c r="G976" s="7"/>
      <c r="H976" s="7"/>
      <c r="I976" s="7"/>
      <c r="J976" s="7"/>
      <c r="K976" s="7"/>
      <c r="L976" s="7"/>
    </row>
    <row r="977" spans="1:12" ht="13" customHeight="1" x14ac:dyDescent="0.15">
      <c r="A977" s="48"/>
      <c r="B977" s="7"/>
      <c r="C977" s="5"/>
      <c r="D977" s="5"/>
      <c r="E977" s="5"/>
      <c r="F977" s="5"/>
      <c r="G977" s="7"/>
      <c r="H977" s="7"/>
      <c r="I977" s="7"/>
      <c r="J977" s="7"/>
      <c r="K977" s="7"/>
      <c r="L977" s="7"/>
    </row>
    <row r="978" spans="1:12" ht="13" customHeight="1" x14ac:dyDescent="0.15">
      <c r="A978" s="48"/>
      <c r="B978" s="7"/>
      <c r="C978" s="5"/>
      <c r="D978" s="5"/>
      <c r="E978" s="5"/>
      <c r="F978" s="5"/>
      <c r="G978" s="7"/>
      <c r="H978" s="7"/>
      <c r="I978" s="7"/>
      <c r="J978" s="7"/>
      <c r="K978" s="7"/>
      <c r="L978" s="7"/>
    </row>
    <row r="979" spans="1:12" ht="13" customHeight="1" x14ac:dyDescent="0.15">
      <c r="A979" s="48"/>
      <c r="B979" s="7"/>
      <c r="C979" s="5"/>
      <c r="D979" s="5"/>
      <c r="E979" s="5"/>
      <c r="F979" s="5"/>
      <c r="G979" s="7"/>
      <c r="H979" s="7"/>
      <c r="I979" s="7"/>
      <c r="J979" s="7"/>
      <c r="K979" s="7"/>
      <c r="L979" s="7"/>
    </row>
    <row r="980" spans="1:12" ht="13" customHeight="1" x14ac:dyDescent="0.15">
      <c r="A980" s="48"/>
      <c r="B980" s="7"/>
      <c r="C980" s="5"/>
      <c r="D980" s="5"/>
      <c r="E980" s="5"/>
      <c r="F980" s="5"/>
      <c r="G980" s="7"/>
      <c r="H980" s="7"/>
      <c r="I980" s="7"/>
      <c r="J980" s="7"/>
      <c r="K980" s="7"/>
      <c r="L980" s="7"/>
    </row>
    <row r="981" spans="1:12" ht="13" customHeight="1" x14ac:dyDescent="0.15">
      <c r="A981" s="48"/>
      <c r="B981" s="7"/>
      <c r="C981" s="5"/>
      <c r="D981" s="5"/>
      <c r="E981" s="5"/>
      <c r="F981" s="5"/>
      <c r="G981" s="7"/>
      <c r="H981" s="7"/>
      <c r="I981" s="7"/>
      <c r="J981" s="7"/>
      <c r="K981" s="7"/>
      <c r="L981" s="7"/>
    </row>
    <row r="982" spans="1:12" ht="13" customHeight="1" x14ac:dyDescent="0.15">
      <c r="A982" s="48"/>
      <c r="B982" s="7"/>
      <c r="C982" s="5"/>
      <c r="D982" s="5"/>
      <c r="E982" s="5"/>
      <c r="F982" s="5"/>
      <c r="G982" s="7"/>
      <c r="H982" s="7"/>
      <c r="I982" s="7"/>
      <c r="J982" s="7"/>
      <c r="K982" s="7"/>
      <c r="L982" s="7"/>
    </row>
    <row r="983" spans="1:12" ht="13" customHeight="1" x14ac:dyDescent="0.15">
      <c r="A983" s="48"/>
      <c r="B983" s="7"/>
      <c r="C983" s="5"/>
      <c r="D983" s="5"/>
      <c r="E983" s="5"/>
      <c r="F983" s="5"/>
      <c r="G983" s="7"/>
      <c r="H983" s="7"/>
      <c r="I983" s="7"/>
      <c r="J983" s="7"/>
      <c r="K983" s="7"/>
      <c r="L983" s="7"/>
    </row>
    <row r="984" spans="1:12" ht="13" customHeight="1" x14ac:dyDescent="0.15">
      <c r="A984" s="48"/>
      <c r="B984" s="7"/>
      <c r="C984" s="5"/>
      <c r="D984" s="5"/>
      <c r="E984" s="5"/>
      <c r="F984" s="5"/>
      <c r="G984" s="7"/>
      <c r="H984" s="7"/>
      <c r="I984" s="7"/>
      <c r="J984" s="7"/>
      <c r="K984" s="7"/>
      <c r="L984" s="7"/>
    </row>
    <row r="985" spans="1:12" ht="13" customHeight="1" x14ac:dyDescent="0.15">
      <c r="A985" s="48"/>
      <c r="B985" s="7"/>
      <c r="C985" s="5"/>
      <c r="D985" s="5"/>
      <c r="E985" s="5"/>
      <c r="F985" s="5"/>
      <c r="G985" s="7"/>
      <c r="H985" s="7"/>
      <c r="I985" s="7"/>
      <c r="J985" s="7"/>
      <c r="K985" s="7"/>
      <c r="L985" s="7"/>
    </row>
    <row r="986" spans="1:12" ht="13" customHeight="1" x14ac:dyDescent="0.15">
      <c r="A986" s="48"/>
      <c r="B986" s="7"/>
      <c r="C986" s="5"/>
      <c r="D986" s="5"/>
      <c r="E986" s="5"/>
      <c r="F986" s="5"/>
      <c r="G986" s="7"/>
      <c r="H986" s="7"/>
      <c r="I986" s="7"/>
      <c r="J986" s="7"/>
      <c r="K986" s="7"/>
      <c r="L986" s="7"/>
    </row>
    <row r="987" spans="1:12" ht="13" customHeight="1" x14ac:dyDescent="0.15">
      <c r="A987" s="48"/>
      <c r="B987" s="7"/>
      <c r="C987" s="5"/>
      <c r="D987" s="5"/>
      <c r="E987" s="5"/>
      <c r="F987" s="5"/>
      <c r="G987" s="7"/>
      <c r="H987" s="7"/>
      <c r="I987" s="7"/>
      <c r="J987" s="7"/>
      <c r="K987" s="7"/>
      <c r="L987" s="7"/>
    </row>
    <row r="988" spans="1:12" ht="15.75" customHeight="1" x14ac:dyDescent="0.15">
      <c r="A988" s="48"/>
      <c r="B988" s="7"/>
      <c r="C988" s="5"/>
      <c r="D988" s="5"/>
      <c r="E988" s="5"/>
      <c r="F988" s="5"/>
      <c r="G988" s="7"/>
      <c r="H988" s="7"/>
      <c r="I988" s="7"/>
      <c r="J988" s="7"/>
      <c r="K988" s="7"/>
      <c r="L988" s="7"/>
    </row>
    <row r="989" spans="1:12" ht="15.75" customHeight="1" x14ac:dyDescent="0.15">
      <c r="A989" s="48"/>
      <c r="B989" s="7"/>
      <c r="C989" s="5"/>
      <c r="D989" s="5"/>
      <c r="E989" s="5"/>
      <c r="F989" s="5"/>
      <c r="G989" s="7"/>
      <c r="H989" s="7"/>
      <c r="I989" s="7"/>
      <c r="J989" s="7"/>
      <c r="K989" s="7"/>
      <c r="L989" s="7"/>
    </row>
    <row r="990" spans="1:12" ht="15.75" customHeight="1" x14ac:dyDescent="0.15">
      <c r="A990" s="48"/>
      <c r="B990" s="7"/>
      <c r="C990" s="5"/>
      <c r="D990" s="5"/>
      <c r="E990" s="5"/>
      <c r="F990" s="5"/>
      <c r="G990" s="7"/>
      <c r="H990" s="7"/>
      <c r="I990" s="7"/>
      <c r="J990" s="7"/>
      <c r="K990" s="7"/>
      <c r="L990" s="7"/>
    </row>
    <row r="991" spans="1:12" ht="15.75" customHeight="1" x14ac:dyDescent="0.15">
      <c r="A991" s="48"/>
      <c r="B991" s="7"/>
      <c r="C991" s="5"/>
      <c r="D991" s="5"/>
      <c r="E991" s="5"/>
      <c r="F991" s="5"/>
      <c r="G991" s="7"/>
      <c r="H991" s="7"/>
      <c r="I991" s="7"/>
      <c r="J991" s="7"/>
      <c r="K991" s="7"/>
      <c r="L991" s="7"/>
    </row>
    <row r="992" spans="1:12" ht="15.75" customHeight="1" x14ac:dyDescent="0.15">
      <c r="A992" s="48"/>
      <c r="B992" s="7"/>
      <c r="C992" s="5"/>
      <c r="D992" s="5"/>
      <c r="E992" s="5"/>
      <c r="F992" s="5"/>
      <c r="G992" s="7"/>
      <c r="H992" s="7"/>
      <c r="I992" s="7"/>
      <c r="J992" s="7"/>
      <c r="K992" s="7"/>
      <c r="L992" s="7"/>
    </row>
    <row r="993" spans="1:12" ht="15.75" customHeight="1" x14ac:dyDescent="0.15">
      <c r="A993" s="48"/>
      <c r="B993" s="7"/>
      <c r="C993" s="5"/>
      <c r="D993" s="5"/>
      <c r="E993" s="5"/>
      <c r="F993" s="5"/>
      <c r="G993" s="7"/>
      <c r="H993" s="7"/>
      <c r="I993" s="7"/>
      <c r="J993" s="7"/>
      <c r="K993" s="7"/>
      <c r="L993" s="7"/>
    </row>
    <row r="994" spans="1:12" ht="15.75" customHeight="1" x14ac:dyDescent="0.15">
      <c r="A994" s="48"/>
      <c r="B994" s="7"/>
      <c r="C994" s="5"/>
      <c r="D994" s="5"/>
      <c r="E994" s="5"/>
      <c r="F994" s="5"/>
      <c r="G994" s="7"/>
      <c r="H994" s="7"/>
      <c r="I994" s="7"/>
      <c r="J994" s="7"/>
      <c r="K994" s="7"/>
      <c r="L994" s="7"/>
    </row>
    <row r="995" spans="1:12" ht="15.75" customHeight="1" x14ac:dyDescent="0.15">
      <c r="A995" s="48"/>
      <c r="B995" s="7"/>
      <c r="C995" s="5"/>
      <c r="D995" s="5"/>
      <c r="E995" s="5"/>
      <c r="F995" s="5"/>
      <c r="G995" s="7"/>
      <c r="H995" s="7"/>
      <c r="I995" s="7"/>
      <c r="J995" s="7"/>
      <c r="K995" s="7"/>
      <c r="L995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0"/>
  <sheetViews>
    <sheetView zoomScale="125" workbookViewId="0">
      <selection activeCell="C20" sqref="C20"/>
    </sheetView>
  </sheetViews>
  <sheetFormatPr baseColWidth="10" defaultColWidth="12.6640625" defaultRowHeight="15" customHeight="1" x14ac:dyDescent="0.15"/>
  <cols>
    <col min="1" max="1" width="10.83203125" bestFit="1" customWidth="1"/>
    <col min="2" max="2" width="55.33203125" bestFit="1" customWidth="1"/>
    <col min="5" max="5" width="14.33203125" bestFit="1" customWidth="1"/>
    <col min="6" max="6" width="55.33203125" bestFit="1" customWidth="1"/>
  </cols>
  <sheetData>
    <row r="1" spans="1:3" ht="15" customHeight="1" x14ac:dyDescent="0.15">
      <c r="A1" s="85" t="s">
        <v>207</v>
      </c>
      <c r="B1" s="83"/>
      <c r="C1" s="83"/>
    </row>
    <row r="2" spans="1:3" ht="15" customHeight="1" x14ac:dyDescent="0.15">
      <c r="A2" s="82" t="s">
        <v>208</v>
      </c>
      <c r="B2" s="83"/>
      <c r="C2" s="7">
        <v>120</v>
      </c>
    </row>
    <row r="3" spans="1:3" ht="15" customHeight="1" x14ac:dyDescent="0.15">
      <c r="A3" s="82" t="s">
        <v>209</v>
      </c>
      <c r="B3" s="83"/>
      <c r="C3" s="7">
        <v>70</v>
      </c>
    </row>
    <row r="4" spans="1:3" ht="15" customHeight="1" x14ac:dyDescent="0.15">
      <c r="A4" s="82" t="s">
        <v>210</v>
      </c>
      <c r="B4" s="83"/>
      <c r="C4" s="7">
        <v>5.2999999999999999E-2</v>
      </c>
    </row>
    <row r="5" spans="1:3" ht="15" customHeight="1" x14ac:dyDescent="0.15">
      <c r="A5" s="82" t="s">
        <v>211</v>
      </c>
      <c r="B5" s="83"/>
      <c r="C5" s="7">
        <f>C4*C2*(1+C3/100)</f>
        <v>10.811999999999999</v>
      </c>
    </row>
    <row r="6" spans="1:3" ht="15" customHeight="1" x14ac:dyDescent="0.15">
      <c r="A6" s="7"/>
      <c r="B6" s="7"/>
    </row>
    <row r="7" spans="1:3" ht="15" customHeight="1" x14ac:dyDescent="0.15">
      <c r="A7" s="85" t="s">
        <v>212</v>
      </c>
      <c r="B7" s="83"/>
      <c r="C7" s="83"/>
    </row>
    <row r="8" spans="1:3" ht="15" customHeight="1" x14ac:dyDescent="0.15">
      <c r="A8" s="86" t="s">
        <v>213</v>
      </c>
      <c r="B8" s="83"/>
      <c r="C8" s="83"/>
    </row>
    <row r="9" spans="1:3" ht="15" customHeight="1" x14ac:dyDescent="0.15">
      <c r="A9" s="63" t="s">
        <v>214</v>
      </c>
      <c r="B9" s="65" t="s">
        <v>215</v>
      </c>
      <c r="C9" s="64" t="s">
        <v>18</v>
      </c>
    </row>
    <row r="10" spans="1:3" ht="15" customHeight="1" x14ac:dyDescent="0.15">
      <c r="A10" s="87" t="s">
        <v>216</v>
      </c>
      <c r="B10" s="15" t="s">
        <v>208</v>
      </c>
      <c r="C10" s="7">
        <v>50</v>
      </c>
    </row>
    <row r="11" spans="1:3" ht="15" customHeight="1" x14ac:dyDescent="0.15">
      <c r="A11" s="83"/>
      <c r="B11" s="15" t="s">
        <v>209</v>
      </c>
      <c r="C11" s="7">
        <v>50</v>
      </c>
    </row>
    <row r="12" spans="1:3" ht="15" customHeight="1" x14ac:dyDescent="0.15">
      <c r="A12" s="83"/>
      <c r="B12" s="15" t="s">
        <v>217</v>
      </c>
      <c r="C12" s="7">
        <f>C4</f>
        <v>5.2999999999999999E-2</v>
      </c>
    </row>
    <row r="13" spans="1:3" ht="15" customHeight="1" x14ac:dyDescent="0.15">
      <c r="A13" s="83"/>
      <c r="B13" s="15" t="s">
        <v>218</v>
      </c>
      <c r="C13" s="7">
        <f>C12*C10*(1+C11/100)</f>
        <v>3.9749999999999996</v>
      </c>
    </row>
    <row r="14" spans="1:3" ht="15" customHeight="1" x14ac:dyDescent="0.15">
      <c r="A14" s="88" t="s">
        <v>219</v>
      </c>
      <c r="B14" s="16" t="s">
        <v>220</v>
      </c>
      <c r="C14" s="7">
        <v>1.2999999999999999E-2</v>
      </c>
    </row>
    <row r="15" spans="1:3" ht="15" customHeight="1" x14ac:dyDescent="0.15">
      <c r="A15" s="83"/>
      <c r="B15" s="16" t="s">
        <v>221</v>
      </c>
      <c r="C15" s="18">
        <v>0.1</v>
      </c>
    </row>
    <row r="16" spans="1:3" ht="15" customHeight="1" x14ac:dyDescent="0.15">
      <c r="A16" s="83"/>
      <c r="B16" s="17" t="s">
        <v>222</v>
      </c>
      <c r="C16" s="55">
        <f>C14*C15</f>
        <v>1.2999999999999999E-3</v>
      </c>
    </row>
    <row r="17" spans="1:3" ht="15" customHeight="1" x14ac:dyDescent="0.15">
      <c r="A17" s="84" t="s">
        <v>223</v>
      </c>
      <c r="B17" s="83"/>
      <c r="C17" s="83"/>
    </row>
    <row r="18" spans="1:3" ht="15" customHeight="1" x14ac:dyDescent="0.15">
      <c r="A18" s="88" t="s">
        <v>224</v>
      </c>
      <c r="B18" s="83"/>
      <c r="C18">
        <f>38*0.073</f>
        <v>2.774</v>
      </c>
    </row>
    <row r="19" spans="1:3" ht="15" customHeight="1" x14ac:dyDescent="0.15">
      <c r="A19" s="84" t="s">
        <v>225</v>
      </c>
      <c r="B19" s="83"/>
      <c r="C19" s="83"/>
    </row>
    <row r="20" spans="1:3" ht="15" customHeight="1" x14ac:dyDescent="0.15">
      <c r="A20" s="59" t="s">
        <v>226</v>
      </c>
      <c r="B20" s="53" t="s">
        <v>227</v>
      </c>
      <c r="C20" s="64" t="s">
        <v>18</v>
      </c>
    </row>
  </sheetData>
  <mergeCells count="12">
    <mergeCell ref="A4:B4"/>
    <mergeCell ref="A19:C19"/>
    <mergeCell ref="A2:B2"/>
    <mergeCell ref="A1:C1"/>
    <mergeCell ref="A8:C8"/>
    <mergeCell ref="A5:B5"/>
    <mergeCell ref="A17:C17"/>
    <mergeCell ref="A10:A13"/>
    <mergeCell ref="A18:B18"/>
    <mergeCell ref="A7:C7"/>
    <mergeCell ref="A3:B3"/>
    <mergeCell ref="A14:A1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3"/>
  <sheetViews>
    <sheetView workbookViewId="0">
      <selection activeCell="H25" sqref="H25"/>
    </sheetView>
  </sheetViews>
  <sheetFormatPr baseColWidth="10" defaultColWidth="12.6640625" defaultRowHeight="15" customHeight="1" x14ac:dyDescent="0.15"/>
  <cols>
    <col min="1" max="1" width="18.83203125" customWidth="1"/>
    <col min="6" max="6" width="12.6640625" customWidth="1"/>
    <col min="9" max="11" width="15.33203125" customWidth="1"/>
  </cols>
  <sheetData>
    <row r="1" spans="1:11" ht="15" customHeight="1" x14ac:dyDescent="0.15">
      <c r="A1" s="89" t="s">
        <v>228</v>
      </c>
      <c r="B1" s="83"/>
      <c r="C1" s="83"/>
      <c r="D1" s="83"/>
      <c r="E1" s="83"/>
      <c r="F1" s="83"/>
      <c r="G1" s="83"/>
    </row>
    <row r="2" spans="1:11" ht="16" customHeight="1" x14ac:dyDescent="0.15">
      <c r="A2" s="68" t="s">
        <v>5</v>
      </c>
      <c r="B2" s="68" t="s">
        <v>1</v>
      </c>
      <c r="C2" s="68" t="s">
        <v>2</v>
      </c>
      <c r="D2" s="68" t="s">
        <v>6</v>
      </c>
      <c r="E2" s="68" t="s">
        <v>3</v>
      </c>
      <c r="F2" s="68" t="s">
        <v>89</v>
      </c>
      <c r="G2" s="68" t="s">
        <v>229</v>
      </c>
      <c r="I2" s="20"/>
      <c r="J2" s="21" t="s">
        <v>230</v>
      </c>
      <c r="K2" s="21" t="s">
        <v>2</v>
      </c>
    </row>
    <row r="3" spans="1:11" ht="16" customHeight="1" x14ac:dyDescent="0.15">
      <c r="A3" s="4" t="s">
        <v>231</v>
      </c>
      <c r="B3" s="4" t="s">
        <v>45</v>
      </c>
      <c r="C3" s="4" t="s">
        <v>2</v>
      </c>
      <c r="D3" s="4" t="s">
        <v>14</v>
      </c>
      <c r="E3" s="61">
        <v>0.38800000000000001</v>
      </c>
      <c r="F3" s="4">
        <v>2000</v>
      </c>
      <c r="G3" s="61">
        <f>E3/(0.3*0.15*0.07)/F3</f>
        <v>6.1587301587301586E-2</v>
      </c>
      <c r="I3" s="24" t="s">
        <v>232</v>
      </c>
      <c r="J3" s="62">
        <f>AVERAGE(G3:G5)</f>
        <v>5.9100529100529098E-2</v>
      </c>
      <c r="K3" s="26" t="s">
        <v>233</v>
      </c>
    </row>
    <row r="4" spans="1:11" ht="16" customHeight="1" x14ac:dyDescent="0.15">
      <c r="A4" s="4" t="s">
        <v>234</v>
      </c>
      <c r="B4" s="4" t="s">
        <v>45</v>
      </c>
      <c r="C4" s="4" t="s">
        <v>2</v>
      </c>
      <c r="D4" s="4" t="s">
        <v>14</v>
      </c>
      <c r="E4" s="61">
        <v>0.39</v>
      </c>
      <c r="F4" s="4">
        <v>2000</v>
      </c>
      <c r="G4" s="61">
        <f>E4/(0.3*0.15*0.07)/F4</f>
        <v>6.1904761904761907E-2</v>
      </c>
      <c r="I4" s="24" t="s">
        <v>235</v>
      </c>
      <c r="J4" s="62">
        <f>STDEV(G3:G5)</f>
        <v>4.5848934562730034E-3</v>
      </c>
      <c r="K4" s="26" t="s">
        <v>233</v>
      </c>
    </row>
    <row r="5" spans="1:11" ht="16" customHeight="1" x14ac:dyDescent="0.15">
      <c r="A5" s="7" t="s">
        <v>236</v>
      </c>
      <c r="B5" s="4" t="s">
        <v>45</v>
      </c>
      <c r="C5" s="7" t="s">
        <v>2</v>
      </c>
      <c r="D5" s="4" t="s">
        <v>14</v>
      </c>
      <c r="E5" s="61">
        <v>0.33900000000000002</v>
      </c>
      <c r="F5" s="4">
        <v>2000</v>
      </c>
      <c r="G5" s="61">
        <f>E5/(0.3*0.15*0.07)/F5</f>
        <v>5.3809523809523807E-2</v>
      </c>
    </row>
    <row r="6" spans="1:11" ht="15" customHeight="1" x14ac:dyDescent="0.15">
      <c r="A6" s="4"/>
      <c r="B6" s="4"/>
      <c r="C6" s="4"/>
      <c r="D6" s="4"/>
      <c r="E6" s="4"/>
      <c r="F6" s="4"/>
      <c r="G6" s="4"/>
    </row>
    <row r="10" spans="1:11" ht="15" customHeight="1" x14ac:dyDescent="0.15">
      <c r="A10" s="89" t="s">
        <v>237</v>
      </c>
      <c r="B10" s="83"/>
      <c r="C10" s="83"/>
      <c r="D10" s="83"/>
      <c r="E10" s="83"/>
      <c r="F10" s="83"/>
      <c r="G10" s="83"/>
    </row>
    <row r="11" spans="1:11" ht="16" customHeight="1" x14ac:dyDescent="0.15">
      <c r="A11" s="68" t="s">
        <v>5</v>
      </c>
      <c r="B11" s="68" t="s">
        <v>1</v>
      </c>
      <c r="C11" s="68" t="s">
        <v>2</v>
      </c>
      <c r="D11" s="68" t="s">
        <v>6</v>
      </c>
      <c r="E11" s="68" t="s">
        <v>3</v>
      </c>
      <c r="F11" s="68" t="s">
        <v>89</v>
      </c>
      <c r="G11" s="68" t="s">
        <v>229</v>
      </c>
      <c r="I11" s="20"/>
      <c r="J11" s="21" t="s">
        <v>230</v>
      </c>
      <c r="K11" s="21" t="s">
        <v>2</v>
      </c>
    </row>
    <row r="12" spans="1:11" ht="16" customHeight="1" x14ac:dyDescent="0.15">
      <c r="A12" s="4" t="s">
        <v>231</v>
      </c>
      <c r="B12" s="4" t="s">
        <v>45</v>
      </c>
      <c r="C12" s="4" t="s">
        <v>12</v>
      </c>
      <c r="D12" s="4" t="s">
        <v>47</v>
      </c>
      <c r="E12" s="4">
        <v>47.54</v>
      </c>
      <c r="F12" s="4">
        <v>2000</v>
      </c>
      <c r="G12" s="61">
        <f>E12/F12</f>
        <v>2.3769999999999999E-2</v>
      </c>
      <c r="I12" s="24" t="s">
        <v>232</v>
      </c>
      <c r="J12" s="62">
        <f>AVERAGE(G12:G13)</f>
        <v>2.4385E-2</v>
      </c>
      <c r="K12" s="26" t="s">
        <v>233</v>
      </c>
    </row>
    <row r="13" spans="1:11" ht="16" customHeight="1" x14ac:dyDescent="0.15">
      <c r="A13" s="4" t="s">
        <v>234</v>
      </c>
      <c r="B13" s="4" t="s">
        <v>45</v>
      </c>
      <c r="C13" s="4" t="s">
        <v>12</v>
      </c>
      <c r="D13" s="4" t="s">
        <v>47</v>
      </c>
      <c r="E13" s="4">
        <v>50</v>
      </c>
      <c r="F13" s="4">
        <v>2000</v>
      </c>
      <c r="G13" s="61">
        <f>E13/F13</f>
        <v>2.5000000000000001E-2</v>
      </c>
      <c r="I13" s="24" t="s">
        <v>235</v>
      </c>
      <c r="J13" s="62">
        <f>STDEV(G12:G13)</f>
        <v>8.6974134085945486E-4</v>
      </c>
      <c r="K13" s="26" t="s">
        <v>233</v>
      </c>
    </row>
  </sheetData>
  <mergeCells count="2">
    <mergeCell ref="A1:G1"/>
    <mergeCell ref="A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selection activeCell="G2" sqref="G2"/>
    </sheetView>
  </sheetViews>
  <sheetFormatPr baseColWidth="10" defaultColWidth="12.6640625" defaultRowHeight="15" customHeight="1" x14ac:dyDescent="0.15"/>
  <cols>
    <col min="1" max="1" width="18.83203125" customWidth="1"/>
    <col min="2" max="3" width="30.83203125" customWidth="1"/>
    <col min="5" max="9" width="12.6640625" customWidth="1"/>
    <col min="10" max="10" width="15.1640625" customWidth="1"/>
    <col min="11" max="13" width="15.33203125" customWidth="1"/>
  </cols>
  <sheetData>
    <row r="1" spans="1:28" ht="15.75" customHeight="1" x14ac:dyDescent="0.15">
      <c r="A1" s="90" t="s">
        <v>238</v>
      </c>
      <c r="B1" s="83"/>
      <c r="C1" s="83"/>
      <c r="D1" s="83"/>
      <c r="E1" s="83"/>
      <c r="F1" s="83"/>
      <c r="G1" s="83"/>
      <c r="H1" s="83"/>
      <c r="I1" s="83"/>
      <c r="J1" s="16"/>
      <c r="K1" s="4"/>
      <c r="L1" s="4"/>
      <c r="M1" s="4"/>
      <c r="N1" s="4"/>
      <c r="X1" s="4"/>
      <c r="Y1" s="4"/>
      <c r="Z1" s="4"/>
      <c r="AA1" s="4"/>
      <c r="AB1" s="4"/>
    </row>
    <row r="2" spans="1:28" ht="15.75" customHeight="1" x14ac:dyDescent="0.15">
      <c r="A2" s="16" t="s">
        <v>5</v>
      </c>
      <c r="B2" s="16" t="s">
        <v>239</v>
      </c>
      <c r="C2" s="16" t="s">
        <v>240</v>
      </c>
      <c r="D2" s="16" t="s">
        <v>1</v>
      </c>
      <c r="E2" s="16" t="s">
        <v>6</v>
      </c>
      <c r="F2" s="16" t="s">
        <v>2</v>
      </c>
      <c r="G2" s="16" t="s">
        <v>3</v>
      </c>
      <c r="H2" s="16" t="s">
        <v>241</v>
      </c>
      <c r="I2" s="16" t="s">
        <v>7</v>
      </c>
      <c r="K2" s="20"/>
      <c r="L2" s="21" t="s">
        <v>230</v>
      </c>
      <c r="M2" s="21" t="s">
        <v>2</v>
      </c>
      <c r="N2" s="4"/>
      <c r="O2" s="1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15">
      <c r="A3" s="4" t="s">
        <v>242</v>
      </c>
      <c r="B3" s="4" t="s">
        <v>243</v>
      </c>
      <c r="C3" s="22" t="s">
        <v>244</v>
      </c>
      <c r="D3" s="4" t="s">
        <v>245</v>
      </c>
      <c r="E3" s="4" t="s">
        <v>14</v>
      </c>
      <c r="F3" s="4" t="s">
        <v>51</v>
      </c>
      <c r="G3" s="23">
        <v>8.1300000000000008</v>
      </c>
      <c r="H3" s="4">
        <v>2024</v>
      </c>
      <c r="J3" s="7"/>
      <c r="K3" s="24" t="s">
        <v>232</v>
      </c>
      <c r="L3" s="25">
        <f>AVERAGE(G3:G104)</f>
        <v>11.881931372549028</v>
      </c>
      <c r="M3" s="26" t="s">
        <v>246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15">
      <c r="A4" s="4" t="s">
        <v>242</v>
      </c>
      <c r="B4" s="4" t="s">
        <v>247</v>
      </c>
      <c r="C4" s="22" t="s">
        <v>248</v>
      </c>
      <c r="D4" s="4" t="s">
        <v>245</v>
      </c>
      <c r="E4" s="4" t="s">
        <v>14</v>
      </c>
      <c r="F4" s="4" t="s">
        <v>51</v>
      </c>
      <c r="G4" s="23">
        <v>14</v>
      </c>
      <c r="H4" s="4">
        <v>2024</v>
      </c>
      <c r="I4" s="4"/>
      <c r="K4" s="24" t="s">
        <v>235</v>
      </c>
      <c r="L4" s="25">
        <f>STDEV(G3:G104)</f>
        <v>5.2895256750043878</v>
      </c>
      <c r="M4" s="26" t="s">
        <v>246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 x14ac:dyDescent="0.15">
      <c r="A5" s="4" t="s">
        <v>242</v>
      </c>
      <c r="B5" s="4" t="s">
        <v>249</v>
      </c>
      <c r="C5" s="22" t="s">
        <v>250</v>
      </c>
      <c r="D5" s="4" t="s">
        <v>245</v>
      </c>
      <c r="E5" s="4" t="s">
        <v>14</v>
      </c>
      <c r="F5" s="4" t="s">
        <v>51</v>
      </c>
      <c r="G5" s="23">
        <v>12.4</v>
      </c>
      <c r="H5" s="4">
        <v>2024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customHeight="1" x14ac:dyDescent="0.15">
      <c r="A6" s="4" t="s">
        <v>242</v>
      </c>
      <c r="B6" s="4" t="s">
        <v>251</v>
      </c>
      <c r="C6" s="22" t="s">
        <v>252</v>
      </c>
      <c r="D6" s="4" t="s">
        <v>245</v>
      </c>
      <c r="E6" s="4" t="s">
        <v>14</v>
      </c>
      <c r="F6" s="4" t="s">
        <v>51</v>
      </c>
      <c r="G6" s="23">
        <v>8.1300000000000008</v>
      </c>
      <c r="H6" s="4">
        <v>2024</v>
      </c>
      <c r="I6" s="4"/>
      <c r="J6" s="1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 x14ac:dyDescent="0.15">
      <c r="A7" s="4" t="s">
        <v>242</v>
      </c>
      <c r="B7" s="4" t="s">
        <v>253</v>
      </c>
      <c r="C7" s="22" t="s">
        <v>254</v>
      </c>
      <c r="D7" s="4" t="s">
        <v>245</v>
      </c>
      <c r="E7" s="4" t="s">
        <v>14</v>
      </c>
      <c r="F7" s="4" t="s">
        <v>51</v>
      </c>
      <c r="G7" s="23">
        <v>9.6300000000000008</v>
      </c>
      <c r="H7" s="4">
        <v>2025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15">
      <c r="A8" s="4" t="s">
        <v>242</v>
      </c>
      <c r="B8" s="4" t="s">
        <v>255</v>
      </c>
      <c r="C8" s="22" t="s">
        <v>256</v>
      </c>
      <c r="D8" s="4" t="s">
        <v>245</v>
      </c>
      <c r="E8" s="4" t="s">
        <v>14</v>
      </c>
      <c r="F8" s="4" t="s">
        <v>51</v>
      </c>
      <c r="G8" s="23">
        <v>8.8000000000000007</v>
      </c>
      <c r="H8" s="4">
        <v>2025</v>
      </c>
      <c r="I8" s="4"/>
      <c r="J8" s="1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customHeight="1" x14ac:dyDescent="0.15">
      <c r="A9" s="4" t="s">
        <v>242</v>
      </c>
      <c r="B9" s="4" t="s">
        <v>255</v>
      </c>
      <c r="C9" s="22" t="s">
        <v>257</v>
      </c>
      <c r="D9" s="4" t="s">
        <v>245</v>
      </c>
      <c r="E9" s="4" t="s">
        <v>14</v>
      </c>
      <c r="F9" s="4" t="s">
        <v>51</v>
      </c>
      <c r="G9" s="23">
        <v>7.65</v>
      </c>
      <c r="H9" s="4">
        <v>2025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customHeight="1" x14ac:dyDescent="0.15">
      <c r="A10" s="4" t="s">
        <v>242</v>
      </c>
      <c r="B10" s="4" t="s">
        <v>258</v>
      </c>
      <c r="C10" s="22" t="s">
        <v>259</v>
      </c>
      <c r="D10" s="4" t="s">
        <v>245</v>
      </c>
      <c r="E10" s="4" t="s">
        <v>14</v>
      </c>
      <c r="F10" s="4" t="s">
        <v>51</v>
      </c>
      <c r="G10" s="23">
        <v>9.2799999999999994</v>
      </c>
      <c r="H10" s="4">
        <v>2025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customHeight="1" x14ac:dyDescent="0.15">
      <c r="A11" s="4" t="s">
        <v>242</v>
      </c>
      <c r="B11" s="4" t="s">
        <v>253</v>
      </c>
      <c r="C11" s="22" t="s">
        <v>260</v>
      </c>
      <c r="D11" s="4" t="s">
        <v>245</v>
      </c>
      <c r="E11" s="4" t="s">
        <v>14</v>
      </c>
      <c r="F11" s="4" t="s">
        <v>51</v>
      </c>
      <c r="G11" s="23">
        <v>9.6300000000000008</v>
      </c>
      <c r="H11" s="4">
        <v>2025</v>
      </c>
      <c r="I11" s="4"/>
      <c r="J11" s="1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 x14ac:dyDescent="0.15">
      <c r="A12" s="4" t="s">
        <v>242</v>
      </c>
      <c r="B12" s="4" t="s">
        <v>255</v>
      </c>
      <c r="C12" s="22" t="s">
        <v>261</v>
      </c>
      <c r="D12" s="4" t="s">
        <v>245</v>
      </c>
      <c r="E12" s="4" t="s">
        <v>14</v>
      </c>
      <c r="F12" s="4" t="s">
        <v>51</v>
      </c>
      <c r="G12" s="23">
        <v>8.8000000000000007</v>
      </c>
      <c r="H12" s="4">
        <v>2025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23"/>
      <c r="V12" s="4"/>
      <c r="W12" s="4"/>
      <c r="X12" s="4"/>
      <c r="Y12" s="4"/>
      <c r="Z12" s="4"/>
      <c r="AA12" s="4"/>
      <c r="AB12" s="4"/>
    </row>
    <row r="13" spans="1:28" ht="15.75" customHeight="1" x14ac:dyDescent="0.15">
      <c r="A13" s="4" t="s">
        <v>242</v>
      </c>
      <c r="B13" s="4" t="s">
        <v>255</v>
      </c>
      <c r="C13" s="22" t="s">
        <v>262</v>
      </c>
      <c r="D13" s="4" t="s">
        <v>245</v>
      </c>
      <c r="E13" s="4" t="s">
        <v>14</v>
      </c>
      <c r="F13" s="4" t="s">
        <v>51</v>
      </c>
      <c r="G13" s="23">
        <v>7.65</v>
      </c>
      <c r="H13" s="4">
        <v>2025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23"/>
      <c r="V13" s="4"/>
      <c r="W13" s="4"/>
      <c r="X13" s="4"/>
      <c r="Y13" s="4"/>
      <c r="Z13" s="4"/>
      <c r="AA13" s="4"/>
      <c r="AB13" s="4"/>
    </row>
    <row r="14" spans="1:28" ht="15.75" customHeight="1" x14ac:dyDescent="0.15">
      <c r="A14" s="4" t="s">
        <v>242</v>
      </c>
      <c r="B14" s="4" t="s">
        <v>258</v>
      </c>
      <c r="C14" s="22" t="s">
        <v>263</v>
      </c>
      <c r="D14" s="4" t="s">
        <v>245</v>
      </c>
      <c r="E14" s="4" t="s">
        <v>14</v>
      </c>
      <c r="F14" s="4" t="s">
        <v>51</v>
      </c>
      <c r="G14" s="23">
        <v>9.2799999999999994</v>
      </c>
      <c r="H14" s="4">
        <v>2025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 x14ac:dyDescent="0.15">
      <c r="A15" s="4" t="s">
        <v>242</v>
      </c>
      <c r="B15" s="4" t="s">
        <v>253</v>
      </c>
      <c r="C15" s="22" t="s">
        <v>264</v>
      </c>
      <c r="D15" s="4" t="s">
        <v>245</v>
      </c>
      <c r="E15" s="4" t="s">
        <v>14</v>
      </c>
      <c r="F15" s="4" t="s">
        <v>51</v>
      </c>
      <c r="G15" s="23">
        <v>9.6300000000000008</v>
      </c>
      <c r="H15" s="4">
        <v>2025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7"/>
      <c r="V15" s="4"/>
      <c r="W15" s="4"/>
      <c r="X15" s="4"/>
      <c r="Y15" s="4"/>
      <c r="Z15" s="4"/>
      <c r="AA15" s="4"/>
      <c r="AB15" s="4"/>
    </row>
    <row r="16" spans="1:28" ht="15.75" customHeight="1" x14ac:dyDescent="0.15">
      <c r="A16" s="4" t="s">
        <v>242</v>
      </c>
      <c r="B16" s="4" t="s">
        <v>255</v>
      </c>
      <c r="C16" s="22" t="s">
        <v>265</v>
      </c>
      <c r="D16" s="4" t="s">
        <v>245</v>
      </c>
      <c r="E16" s="4" t="s">
        <v>14</v>
      </c>
      <c r="F16" s="4" t="s">
        <v>51</v>
      </c>
      <c r="G16" s="23">
        <v>8.8000000000000007</v>
      </c>
      <c r="H16" s="4">
        <v>2025</v>
      </c>
      <c r="I16" s="4"/>
      <c r="J16" s="19"/>
      <c r="K16" s="4"/>
      <c r="L16" s="4"/>
      <c r="M16" s="4"/>
      <c r="N16" s="4"/>
      <c r="O16" s="4"/>
      <c r="P16" s="4"/>
      <c r="Q16" s="4"/>
      <c r="R16" s="4"/>
      <c r="S16" s="4"/>
      <c r="T16" s="4"/>
      <c r="U16" s="27"/>
      <c r="V16" s="4"/>
      <c r="W16" s="4"/>
      <c r="X16" s="4"/>
      <c r="Y16" s="4"/>
      <c r="Z16" s="4"/>
      <c r="AA16" s="4"/>
      <c r="AB16" s="4"/>
    </row>
    <row r="17" spans="1:28" ht="15.75" customHeight="1" x14ac:dyDescent="0.15">
      <c r="A17" s="4" t="s">
        <v>242</v>
      </c>
      <c r="B17" s="4" t="s">
        <v>255</v>
      </c>
      <c r="C17" s="22" t="s">
        <v>266</v>
      </c>
      <c r="D17" s="4" t="s">
        <v>245</v>
      </c>
      <c r="E17" s="4" t="s">
        <v>14</v>
      </c>
      <c r="F17" s="4" t="s">
        <v>51</v>
      </c>
      <c r="G17" s="23">
        <v>7.65</v>
      </c>
      <c r="H17" s="4">
        <v>2025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7"/>
      <c r="V17" s="4"/>
      <c r="W17" s="4"/>
      <c r="X17" s="4"/>
      <c r="Y17" s="4"/>
      <c r="Z17" s="4"/>
      <c r="AA17" s="4"/>
      <c r="AB17" s="4"/>
    </row>
    <row r="18" spans="1:28" ht="15.75" customHeight="1" x14ac:dyDescent="0.15">
      <c r="A18" s="4" t="s">
        <v>242</v>
      </c>
      <c r="B18" s="4" t="s">
        <v>258</v>
      </c>
      <c r="C18" s="22" t="s">
        <v>267</v>
      </c>
      <c r="D18" s="4" t="s">
        <v>245</v>
      </c>
      <c r="E18" s="4" t="s">
        <v>14</v>
      </c>
      <c r="F18" s="4" t="s">
        <v>51</v>
      </c>
      <c r="G18" s="23">
        <v>9.2799999999999994</v>
      </c>
      <c r="H18" s="4">
        <v>2025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7"/>
      <c r="V18" s="4"/>
      <c r="W18" s="4"/>
      <c r="X18" s="4"/>
      <c r="Y18" s="4"/>
      <c r="Z18" s="4"/>
      <c r="AA18" s="4"/>
      <c r="AB18" s="4"/>
    </row>
    <row r="19" spans="1:28" ht="15.75" customHeight="1" x14ac:dyDescent="0.15">
      <c r="A19" s="4" t="s">
        <v>242</v>
      </c>
      <c r="B19" s="4" t="s">
        <v>253</v>
      </c>
      <c r="C19" s="22" t="s">
        <v>268</v>
      </c>
      <c r="D19" s="4" t="s">
        <v>245</v>
      </c>
      <c r="E19" s="4" t="s">
        <v>14</v>
      </c>
      <c r="F19" s="4" t="s">
        <v>51</v>
      </c>
      <c r="G19" s="23">
        <v>9.6300000000000008</v>
      </c>
      <c r="H19" s="4">
        <v>2025</v>
      </c>
      <c r="I19" s="4"/>
      <c r="J19" s="1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15">
      <c r="A20" s="4" t="s">
        <v>242</v>
      </c>
      <c r="B20" s="4" t="s">
        <v>255</v>
      </c>
      <c r="C20" s="22" t="s">
        <v>269</v>
      </c>
      <c r="D20" s="4" t="s">
        <v>245</v>
      </c>
      <c r="E20" s="4" t="s">
        <v>14</v>
      </c>
      <c r="F20" s="4" t="s">
        <v>51</v>
      </c>
      <c r="G20" s="23">
        <v>8.8000000000000007</v>
      </c>
      <c r="H20" s="4">
        <v>2025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15">
      <c r="A21" s="4" t="s">
        <v>242</v>
      </c>
      <c r="B21" s="4" t="s">
        <v>255</v>
      </c>
      <c r="C21" s="22" t="s">
        <v>270</v>
      </c>
      <c r="D21" s="4" t="s">
        <v>245</v>
      </c>
      <c r="E21" s="4" t="s">
        <v>14</v>
      </c>
      <c r="F21" s="4" t="s">
        <v>51</v>
      </c>
      <c r="G21" s="23">
        <v>7.65</v>
      </c>
      <c r="H21" s="4">
        <v>2025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15">
      <c r="A22" s="4" t="s">
        <v>242</v>
      </c>
      <c r="B22" s="4" t="s">
        <v>258</v>
      </c>
      <c r="C22" s="22" t="s">
        <v>271</v>
      </c>
      <c r="D22" s="4" t="s">
        <v>245</v>
      </c>
      <c r="E22" s="4" t="s">
        <v>14</v>
      </c>
      <c r="F22" s="4" t="s">
        <v>51</v>
      </c>
      <c r="G22" s="23">
        <v>9.2799999999999994</v>
      </c>
      <c r="H22" s="4">
        <v>2025</v>
      </c>
      <c r="I22" s="4"/>
      <c r="J22" s="19"/>
      <c r="K22" s="4"/>
      <c r="L22" s="4"/>
      <c r="M22" s="4"/>
      <c r="N22" s="4"/>
      <c r="O22" s="4"/>
      <c r="P22" s="4"/>
      <c r="Q22" s="4"/>
      <c r="R22" s="4"/>
      <c r="S22" s="4"/>
      <c r="T22" s="4"/>
      <c r="U22" s="27"/>
      <c r="V22" s="4"/>
      <c r="W22" s="4"/>
      <c r="X22" s="4"/>
      <c r="Y22" s="4"/>
      <c r="Z22" s="4"/>
      <c r="AA22" s="4"/>
      <c r="AB22" s="4"/>
    </row>
    <row r="23" spans="1:28" ht="15.75" customHeight="1" x14ac:dyDescent="0.15">
      <c r="A23" s="4" t="s">
        <v>242</v>
      </c>
      <c r="B23" s="4" t="s">
        <v>253</v>
      </c>
      <c r="C23" s="22" t="s">
        <v>272</v>
      </c>
      <c r="D23" s="4" t="s">
        <v>245</v>
      </c>
      <c r="E23" s="4" t="s">
        <v>14</v>
      </c>
      <c r="F23" s="4" t="s">
        <v>51</v>
      </c>
      <c r="G23" s="23">
        <v>9.6300000000000008</v>
      </c>
      <c r="H23" s="4">
        <v>2025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23"/>
      <c r="V23" s="4"/>
      <c r="W23" s="4"/>
      <c r="X23" s="4"/>
      <c r="Y23" s="4"/>
      <c r="Z23" s="4"/>
      <c r="AA23" s="4"/>
      <c r="AB23" s="4"/>
    </row>
    <row r="24" spans="1:28" ht="15.75" customHeight="1" x14ac:dyDescent="0.15">
      <c r="A24" s="4" t="s">
        <v>242</v>
      </c>
      <c r="B24" s="4" t="s">
        <v>255</v>
      </c>
      <c r="C24" s="22" t="s">
        <v>273</v>
      </c>
      <c r="D24" s="4" t="s">
        <v>245</v>
      </c>
      <c r="E24" s="4" t="s">
        <v>14</v>
      </c>
      <c r="F24" s="4" t="s">
        <v>51</v>
      </c>
      <c r="G24" s="23">
        <v>8.8000000000000007</v>
      </c>
      <c r="H24" s="4">
        <v>2025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3"/>
      <c r="V24" s="4"/>
      <c r="W24" s="4"/>
      <c r="X24" s="4"/>
      <c r="Y24" s="4"/>
      <c r="Z24" s="4"/>
      <c r="AA24" s="4"/>
      <c r="AB24" s="4"/>
    </row>
    <row r="25" spans="1:28" ht="15.75" customHeight="1" x14ac:dyDescent="0.15">
      <c r="A25" s="4" t="s">
        <v>242</v>
      </c>
      <c r="B25" s="4" t="s">
        <v>255</v>
      </c>
      <c r="C25" s="22" t="s">
        <v>274</v>
      </c>
      <c r="D25" s="4" t="s">
        <v>245</v>
      </c>
      <c r="E25" s="4" t="s">
        <v>14</v>
      </c>
      <c r="F25" s="4" t="s">
        <v>51</v>
      </c>
      <c r="G25" s="23">
        <v>7.65</v>
      </c>
      <c r="H25" s="4">
        <v>2025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3"/>
      <c r="V25" s="4"/>
      <c r="W25" s="4"/>
      <c r="X25" s="4"/>
      <c r="Y25" s="4"/>
      <c r="Z25" s="4"/>
      <c r="AA25" s="4"/>
      <c r="AB25" s="4"/>
    </row>
    <row r="26" spans="1:28" ht="15.75" customHeight="1" x14ac:dyDescent="0.15">
      <c r="A26" s="4" t="s">
        <v>242</v>
      </c>
      <c r="B26" s="4" t="s">
        <v>258</v>
      </c>
      <c r="C26" s="22" t="s">
        <v>275</v>
      </c>
      <c r="D26" s="4" t="s">
        <v>245</v>
      </c>
      <c r="E26" s="4" t="s">
        <v>14</v>
      </c>
      <c r="F26" s="4" t="s">
        <v>51</v>
      </c>
      <c r="G26" s="23">
        <v>9.2799999999999994</v>
      </c>
      <c r="H26" s="4">
        <v>2025</v>
      </c>
      <c r="I26" s="4"/>
      <c r="J26" s="19"/>
      <c r="K26" s="4"/>
      <c r="L26" s="4"/>
      <c r="M26" s="4"/>
      <c r="N26" s="4"/>
      <c r="O26" s="4"/>
      <c r="P26" s="4"/>
      <c r="Q26" s="4"/>
      <c r="R26" s="4"/>
      <c r="S26" s="4"/>
      <c r="T26" s="4"/>
      <c r="U26" s="23"/>
      <c r="V26" s="4"/>
      <c r="W26" s="4"/>
      <c r="X26" s="4"/>
      <c r="Y26" s="4"/>
      <c r="Z26" s="4"/>
      <c r="AA26" s="4"/>
      <c r="AB26" s="4"/>
    </row>
    <row r="27" spans="1:28" ht="15.75" customHeight="1" x14ac:dyDescent="0.15">
      <c r="A27" s="4" t="s">
        <v>242</v>
      </c>
      <c r="B27" s="4" t="s">
        <v>253</v>
      </c>
      <c r="C27" s="22" t="s">
        <v>276</v>
      </c>
      <c r="D27" s="4" t="s">
        <v>245</v>
      </c>
      <c r="E27" s="4" t="s">
        <v>14</v>
      </c>
      <c r="F27" s="4" t="s">
        <v>51</v>
      </c>
      <c r="G27" s="23">
        <v>9.6300000000000008</v>
      </c>
      <c r="H27" s="4">
        <v>2025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23"/>
      <c r="V27" s="4"/>
      <c r="W27" s="4"/>
      <c r="X27" s="4"/>
      <c r="Y27" s="4"/>
      <c r="Z27" s="4"/>
      <c r="AA27" s="4"/>
      <c r="AB27" s="4"/>
    </row>
    <row r="28" spans="1:28" ht="15.75" customHeight="1" x14ac:dyDescent="0.15">
      <c r="A28" s="4" t="s">
        <v>242</v>
      </c>
      <c r="B28" s="4" t="s">
        <v>255</v>
      </c>
      <c r="C28" s="22" t="s">
        <v>277</v>
      </c>
      <c r="D28" s="4" t="s">
        <v>245</v>
      </c>
      <c r="E28" s="4" t="s">
        <v>14</v>
      </c>
      <c r="F28" s="4" t="s">
        <v>51</v>
      </c>
      <c r="G28" s="23">
        <v>8.8000000000000007</v>
      </c>
      <c r="H28" s="4">
        <v>2025</v>
      </c>
      <c r="I28" s="4"/>
      <c r="J28" s="19"/>
      <c r="K28" s="4"/>
      <c r="L28" s="4"/>
      <c r="M28" s="4"/>
      <c r="N28" s="4"/>
      <c r="O28" s="4"/>
      <c r="P28" s="4"/>
      <c r="Q28" s="4"/>
      <c r="R28" s="4"/>
      <c r="S28" s="4"/>
      <c r="T28" s="4"/>
      <c r="U28" s="23"/>
      <c r="V28" s="4"/>
      <c r="W28" s="4"/>
      <c r="X28" s="4"/>
      <c r="Y28" s="4"/>
      <c r="Z28" s="4"/>
      <c r="AA28" s="4"/>
      <c r="AB28" s="4"/>
    </row>
    <row r="29" spans="1:28" ht="15.75" customHeight="1" x14ac:dyDescent="0.15">
      <c r="A29" s="4" t="s">
        <v>242</v>
      </c>
      <c r="B29" s="4" t="s">
        <v>255</v>
      </c>
      <c r="C29" s="22" t="s">
        <v>278</v>
      </c>
      <c r="D29" s="4" t="s">
        <v>245</v>
      </c>
      <c r="E29" s="4" t="s">
        <v>14</v>
      </c>
      <c r="F29" s="4" t="s">
        <v>51</v>
      </c>
      <c r="G29" s="23">
        <v>7.65</v>
      </c>
      <c r="H29" s="4">
        <v>2025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23"/>
      <c r="V29" s="4"/>
      <c r="W29" s="4"/>
      <c r="X29" s="4"/>
      <c r="Y29" s="4"/>
      <c r="Z29" s="4"/>
      <c r="AA29" s="4"/>
      <c r="AB29" s="4"/>
    </row>
    <row r="30" spans="1:28" ht="15.75" customHeight="1" x14ac:dyDescent="0.15">
      <c r="A30" s="4" t="s">
        <v>242</v>
      </c>
      <c r="B30" s="4" t="s">
        <v>258</v>
      </c>
      <c r="C30" s="22" t="s">
        <v>279</v>
      </c>
      <c r="D30" s="4" t="s">
        <v>245</v>
      </c>
      <c r="E30" s="4" t="s">
        <v>14</v>
      </c>
      <c r="F30" s="4" t="s">
        <v>51</v>
      </c>
      <c r="G30" s="23">
        <v>9.2799999999999994</v>
      </c>
      <c r="H30" s="4">
        <v>2025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23"/>
      <c r="V30" s="4"/>
      <c r="W30" s="4"/>
      <c r="X30" s="4"/>
      <c r="Y30" s="4"/>
      <c r="Z30" s="4"/>
      <c r="AA30" s="4"/>
      <c r="AB30" s="4"/>
    </row>
    <row r="31" spans="1:28" ht="15.75" customHeight="1" x14ac:dyDescent="0.15">
      <c r="A31" s="4" t="s">
        <v>242</v>
      </c>
      <c r="B31" s="4" t="s">
        <v>280</v>
      </c>
      <c r="C31" s="22" t="s">
        <v>281</v>
      </c>
      <c r="D31" s="4" t="s">
        <v>245</v>
      </c>
      <c r="E31" s="4" t="s">
        <v>14</v>
      </c>
      <c r="F31" s="4" t="s">
        <v>51</v>
      </c>
      <c r="G31" s="23">
        <v>12.16</v>
      </c>
      <c r="H31" s="4">
        <v>2025</v>
      </c>
      <c r="I31" s="4"/>
      <c r="J31" s="19"/>
      <c r="K31" s="4"/>
      <c r="L31" s="4"/>
      <c r="M31" s="4"/>
      <c r="N31" s="4"/>
      <c r="O31" s="4"/>
      <c r="P31" s="4"/>
      <c r="Q31" s="4"/>
      <c r="R31" s="4"/>
      <c r="S31" s="4"/>
      <c r="T31" s="4"/>
      <c r="U31" s="23"/>
      <c r="V31" s="4"/>
      <c r="W31" s="4"/>
      <c r="X31" s="4"/>
      <c r="Y31" s="4"/>
      <c r="Z31" s="4"/>
      <c r="AA31" s="4"/>
      <c r="AB31" s="4"/>
    </row>
    <row r="32" spans="1:28" ht="15.75" customHeight="1" x14ac:dyDescent="0.15">
      <c r="A32" s="4" t="s">
        <v>242</v>
      </c>
      <c r="B32" s="4" t="s">
        <v>282</v>
      </c>
      <c r="C32" s="22" t="s">
        <v>283</v>
      </c>
      <c r="D32" s="4" t="s">
        <v>245</v>
      </c>
      <c r="E32" s="4" t="s">
        <v>14</v>
      </c>
      <c r="F32" s="4" t="s">
        <v>51</v>
      </c>
      <c r="G32" s="23">
        <v>15.99</v>
      </c>
      <c r="H32" s="4">
        <v>2025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23"/>
      <c r="V32" s="4"/>
      <c r="W32" s="4"/>
      <c r="X32" s="4"/>
      <c r="Y32" s="4"/>
      <c r="Z32" s="4"/>
      <c r="AA32" s="4"/>
      <c r="AB32" s="4"/>
    </row>
    <row r="33" spans="1:28" ht="15.75" customHeight="1" x14ac:dyDescent="0.15">
      <c r="A33" s="4" t="s">
        <v>242</v>
      </c>
      <c r="B33" s="4" t="s">
        <v>284</v>
      </c>
      <c r="C33" s="22" t="s">
        <v>285</v>
      </c>
      <c r="D33" s="4" t="s">
        <v>245</v>
      </c>
      <c r="E33" s="4" t="s">
        <v>14</v>
      </c>
      <c r="F33" s="4" t="s">
        <v>51</v>
      </c>
      <c r="G33" s="23">
        <v>6.6</v>
      </c>
      <c r="H33" s="4">
        <v>2025</v>
      </c>
      <c r="J33" s="19"/>
      <c r="K33" s="4"/>
      <c r="L33" s="4"/>
      <c r="M33" s="4"/>
      <c r="N33" s="4"/>
      <c r="O33" s="4"/>
      <c r="P33" s="4"/>
      <c r="Q33" s="4"/>
      <c r="R33" s="4"/>
      <c r="S33" s="4"/>
      <c r="T33" s="4"/>
      <c r="U33" s="23"/>
      <c r="V33" s="4"/>
      <c r="W33" s="4"/>
      <c r="X33" s="4"/>
      <c r="Y33" s="4"/>
      <c r="Z33" s="4"/>
      <c r="AA33" s="4"/>
      <c r="AB33" s="4"/>
    </row>
    <row r="34" spans="1:28" ht="15.75" customHeight="1" x14ac:dyDescent="0.15">
      <c r="A34" s="4" t="s">
        <v>242</v>
      </c>
      <c r="B34" s="4" t="s">
        <v>286</v>
      </c>
      <c r="C34" s="22" t="s">
        <v>287</v>
      </c>
      <c r="D34" s="4" t="s">
        <v>245</v>
      </c>
      <c r="E34" s="4" t="s">
        <v>14</v>
      </c>
      <c r="F34" s="4" t="s">
        <v>51</v>
      </c>
      <c r="G34" s="23">
        <v>8.1</v>
      </c>
      <c r="H34" s="4">
        <v>2025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23"/>
      <c r="V34" s="4"/>
      <c r="W34" s="4"/>
      <c r="X34" s="4"/>
      <c r="Y34" s="4"/>
      <c r="Z34" s="4"/>
      <c r="AA34" s="4"/>
      <c r="AB34" s="4"/>
    </row>
    <row r="35" spans="1:28" ht="15.75" customHeight="1" x14ac:dyDescent="0.15">
      <c r="A35" s="4" t="s">
        <v>242</v>
      </c>
      <c r="B35" s="4" t="s">
        <v>253</v>
      </c>
      <c r="C35" s="22" t="s">
        <v>288</v>
      </c>
      <c r="D35" s="4" t="s">
        <v>245</v>
      </c>
      <c r="E35" s="4" t="s">
        <v>14</v>
      </c>
      <c r="F35" s="4" t="s">
        <v>51</v>
      </c>
      <c r="G35" s="23">
        <v>11.3</v>
      </c>
      <c r="H35" s="4">
        <v>2026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23"/>
      <c r="V35" s="4"/>
      <c r="W35" s="4"/>
      <c r="X35" s="4"/>
      <c r="Y35" s="4"/>
      <c r="Z35" s="4"/>
      <c r="AA35" s="4"/>
      <c r="AB35" s="4"/>
    </row>
    <row r="36" spans="1:28" ht="15.75" customHeight="1" x14ac:dyDescent="0.15">
      <c r="A36" s="4" t="s">
        <v>242</v>
      </c>
      <c r="B36" s="4" t="s">
        <v>61</v>
      </c>
      <c r="C36" s="22" t="s">
        <v>289</v>
      </c>
      <c r="D36" s="4" t="s">
        <v>245</v>
      </c>
      <c r="E36" s="4" t="s">
        <v>14</v>
      </c>
      <c r="F36" s="4" t="s">
        <v>51</v>
      </c>
      <c r="G36" s="23">
        <v>10.5</v>
      </c>
      <c r="H36" s="4">
        <v>2026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23"/>
      <c r="V36" s="4"/>
      <c r="W36" s="4"/>
      <c r="X36" s="4"/>
      <c r="Y36" s="4"/>
      <c r="Z36" s="4"/>
      <c r="AA36" s="4"/>
      <c r="AB36" s="4"/>
    </row>
    <row r="37" spans="1:28" ht="15.75" customHeight="1" x14ac:dyDescent="0.15">
      <c r="A37" s="4" t="s">
        <v>242</v>
      </c>
      <c r="B37" s="4" t="s">
        <v>61</v>
      </c>
      <c r="C37" s="22" t="s">
        <v>290</v>
      </c>
      <c r="D37" s="4" t="s">
        <v>245</v>
      </c>
      <c r="E37" s="4" t="s">
        <v>14</v>
      </c>
      <c r="F37" s="4" t="s">
        <v>51</v>
      </c>
      <c r="G37" s="23">
        <v>10.5</v>
      </c>
      <c r="H37" s="4">
        <v>2026</v>
      </c>
      <c r="I37" s="4"/>
      <c r="J37" s="1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x14ac:dyDescent="0.15">
      <c r="A38" s="4" t="s">
        <v>242</v>
      </c>
      <c r="B38" s="4" t="s">
        <v>61</v>
      </c>
      <c r="C38" s="22" t="s">
        <v>290</v>
      </c>
      <c r="D38" s="4" t="s">
        <v>245</v>
      </c>
      <c r="E38" s="4" t="s">
        <v>14</v>
      </c>
      <c r="F38" s="4" t="s">
        <v>51</v>
      </c>
      <c r="G38" s="23">
        <v>11.3</v>
      </c>
      <c r="H38" s="4">
        <v>2026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x14ac:dyDescent="0.15">
      <c r="A39" s="4" t="s">
        <v>242</v>
      </c>
      <c r="B39" s="4" t="s">
        <v>61</v>
      </c>
      <c r="C39" s="22" t="s">
        <v>291</v>
      </c>
      <c r="D39" s="4" t="s">
        <v>245</v>
      </c>
      <c r="E39" s="4" t="s">
        <v>14</v>
      </c>
      <c r="F39" s="4" t="s">
        <v>51</v>
      </c>
      <c r="G39" s="23">
        <v>8.6999999999999993</v>
      </c>
      <c r="H39" s="4">
        <v>2026</v>
      </c>
      <c r="I39" s="4"/>
      <c r="J39" s="1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x14ac:dyDescent="0.15">
      <c r="A40" s="4" t="s">
        <v>242</v>
      </c>
      <c r="B40" s="4" t="s">
        <v>284</v>
      </c>
      <c r="C40" s="22" t="s">
        <v>292</v>
      </c>
      <c r="D40" s="4" t="s">
        <v>245</v>
      </c>
      <c r="E40" s="4" t="s">
        <v>14</v>
      </c>
      <c r="F40" s="4" t="s">
        <v>51</v>
      </c>
      <c r="G40" s="23">
        <v>26.6</v>
      </c>
      <c r="H40" s="4">
        <v>2026</v>
      </c>
      <c r="I40" s="4"/>
      <c r="J40" s="1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 x14ac:dyDescent="0.15">
      <c r="A41" s="4" t="s">
        <v>242</v>
      </c>
      <c r="B41" s="4" t="s">
        <v>284</v>
      </c>
      <c r="C41" s="22" t="s">
        <v>293</v>
      </c>
      <c r="D41" s="4" t="s">
        <v>245</v>
      </c>
      <c r="E41" s="4" t="s">
        <v>14</v>
      </c>
      <c r="F41" s="4" t="s">
        <v>51</v>
      </c>
      <c r="G41" s="23">
        <v>13.4</v>
      </c>
      <c r="H41" s="4">
        <v>2027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 x14ac:dyDescent="0.15">
      <c r="A42" s="4" t="s">
        <v>242</v>
      </c>
      <c r="B42" s="4" t="s">
        <v>294</v>
      </c>
      <c r="C42" s="22" t="s">
        <v>295</v>
      </c>
      <c r="D42" s="4" t="s">
        <v>245</v>
      </c>
      <c r="E42" s="4" t="s">
        <v>14</v>
      </c>
      <c r="F42" s="4" t="s">
        <v>51</v>
      </c>
      <c r="G42" s="23">
        <v>13.5</v>
      </c>
      <c r="H42" s="4">
        <v>2027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 x14ac:dyDescent="0.15">
      <c r="A43" s="7" t="s">
        <v>296</v>
      </c>
      <c r="B43" s="7" t="s">
        <v>61</v>
      </c>
      <c r="C43" s="28" t="s">
        <v>297</v>
      </c>
      <c r="D43" s="7" t="s">
        <v>298</v>
      </c>
      <c r="E43" s="4" t="s">
        <v>14</v>
      </c>
      <c r="F43" s="4" t="s">
        <v>51</v>
      </c>
      <c r="G43" s="4">
        <v>10.9</v>
      </c>
      <c r="H43" s="4">
        <v>2027</v>
      </c>
      <c r="I43" s="4"/>
      <c r="J43" s="1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 x14ac:dyDescent="0.15">
      <c r="A44" s="4" t="s">
        <v>299</v>
      </c>
      <c r="B44" s="4" t="s">
        <v>300</v>
      </c>
      <c r="C44" s="22" t="s">
        <v>301</v>
      </c>
      <c r="D44" s="4" t="s">
        <v>245</v>
      </c>
      <c r="E44" s="4" t="s">
        <v>14</v>
      </c>
      <c r="F44" s="4" t="s">
        <v>51</v>
      </c>
      <c r="G44" s="23">
        <v>9.8800000000000008</v>
      </c>
      <c r="H44" s="4">
        <v>2028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 x14ac:dyDescent="0.15">
      <c r="A45" s="4" t="s">
        <v>299</v>
      </c>
      <c r="B45" s="4" t="s">
        <v>302</v>
      </c>
      <c r="C45" s="22" t="s">
        <v>303</v>
      </c>
      <c r="D45" s="4" t="s">
        <v>245</v>
      </c>
      <c r="E45" s="4" t="s">
        <v>14</v>
      </c>
      <c r="F45" s="4" t="s">
        <v>51</v>
      </c>
      <c r="G45" s="23">
        <v>11.1</v>
      </c>
      <c r="H45" s="4">
        <v>2028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 x14ac:dyDescent="0.15">
      <c r="A46" s="7" t="s">
        <v>304</v>
      </c>
      <c r="B46" s="7" t="s">
        <v>247</v>
      </c>
      <c r="C46" s="28" t="s">
        <v>305</v>
      </c>
      <c r="D46" s="7" t="s">
        <v>45</v>
      </c>
      <c r="E46" s="4" t="s">
        <v>14</v>
      </c>
      <c r="F46" s="4" t="s">
        <v>51</v>
      </c>
      <c r="G46" s="4">
        <v>12.9</v>
      </c>
      <c r="H46" s="4">
        <v>2026</v>
      </c>
      <c r="I46" s="4"/>
      <c r="J46" s="1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 x14ac:dyDescent="0.15">
      <c r="A47" s="7" t="s">
        <v>304</v>
      </c>
      <c r="B47" s="7" t="s">
        <v>247</v>
      </c>
      <c r="C47" s="28" t="s">
        <v>306</v>
      </c>
      <c r="D47" s="7" t="s">
        <v>45</v>
      </c>
      <c r="E47" s="4" t="s">
        <v>14</v>
      </c>
      <c r="F47" s="4" t="s">
        <v>51</v>
      </c>
      <c r="G47" s="4">
        <v>12.6</v>
      </c>
      <c r="H47" s="4">
        <v>2027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 x14ac:dyDescent="0.15">
      <c r="A48" s="4" t="s">
        <v>307</v>
      </c>
      <c r="B48" s="4" t="s">
        <v>308</v>
      </c>
      <c r="C48" s="22" t="s">
        <v>309</v>
      </c>
      <c r="D48" s="4" t="s">
        <v>245</v>
      </c>
      <c r="E48" s="4" t="s">
        <v>14</v>
      </c>
      <c r="F48" s="4" t="s">
        <v>51</v>
      </c>
      <c r="G48" s="23">
        <v>10</v>
      </c>
      <c r="H48" s="4">
        <v>2028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 x14ac:dyDescent="0.15">
      <c r="A49" s="4" t="s">
        <v>310</v>
      </c>
      <c r="B49" s="4" t="s">
        <v>311</v>
      </c>
      <c r="C49" s="22" t="s">
        <v>312</v>
      </c>
      <c r="D49" s="4" t="s">
        <v>45</v>
      </c>
      <c r="E49" s="4" t="s">
        <v>14</v>
      </c>
      <c r="F49" s="4" t="s">
        <v>51</v>
      </c>
      <c r="G49" s="23">
        <v>11.8</v>
      </c>
      <c r="H49" s="4">
        <v>2027</v>
      </c>
      <c r="I49" s="4"/>
      <c r="J49" s="1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 x14ac:dyDescent="0.15">
      <c r="A50" s="4" t="s">
        <v>313</v>
      </c>
      <c r="B50" s="4" t="s">
        <v>314</v>
      </c>
      <c r="C50" s="22" t="s">
        <v>315</v>
      </c>
      <c r="D50" s="4" t="s">
        <v>316</v>
      </c>
      <c r="E50" s="4" t="s">
        <v>14</v>
      </c>
      <c r="F50" s="4" t="s">
        <v>51</v>
      </c>
      <c r="G50" s="23">
        <v>8.07</v>
      </c>
      <c r="H50" s="4">
        <v>2025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 x14ac:dyDescent="0.15">
      <c r="A51" s="4" t="s">
        <v>313</v>
      </c>
      <c r="B51" s="4" t="s">
        <v>317</v>
      </c>
      <c r="C51" s="22" t="s">
        <v>318</v>
      </c>
      <c r="D51" s="4" t="s">
        <v>316</v>
      </c>
      <c r="E51" s="4" t="s">
        <v>14</v>
      </c>
      <c r="F51" s="4" t="s">
        <v>51</v>
      </c>
      <c r="G51" s="23">
        <v>10.199999999999999</v>
      </c>
      <c r="H51" s="4">
        <v>2025</v>
      </c>
      <c r="I51" s="4"/>
      <c r="J51" s="1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 x14ac:dyDescent="0.15">
      <c r="A52" s="4" t="s">
        <v>313</v>
      </c>
      <c r="B52" s="4" t="s">
        <v>319</v>
      </c>
      <c r="C52" s="22" t="s">
        <v>320</v>
      </c>
      <c r="D52" s="4" t="s">
        <v>316</v>
      </c>
      <c r="E52" s="4" t="s">
        <v>14</v>
      </c>
      <c r="F52" s="4" t="s">
        <v>51</v>
      </c>
      <c r="G52" s="23">
        <v>14</v>
      </c>
      <c r="H52" s="4">
        <v>2025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 x14ac:dyDescent="0.15">
      <c r="A53" s="4" t="s">
        <v>313</v>
      </c>
      <c r="B53" s="4" t="s">
        <v>321</v>
      </c>
      <c r="C53" s="22" t="s">
        <v>322</v>
      </c>
      <c r="D53" s="4" t="s">
        <v>316</v>
      </c>
      <c r="E53" s="4" t="s">
        <v>14</v>
      </c>
      <c r="F53" s="4" t="s">
        <v>51</v>
      </c>
      <c r="G53" s="23">
        <v>13.4</v>
      </c>
      <c r="H53" s="4">
        <v>2025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 x14ac:dyDescent="0.15">
      <c r="A54" s="4" t="s">
        <v>323</v>
      </c>
      <c r="B54" s="4" t="s">
        <v>61</v>
      </c>
      <c r="C54" s="22" t="s">
        <v>324</v>
      </c>
      <c r="D54" s="4" t="s">
        <v>325</v>
      </c>
      <c r="E54" s="4" t="s">
        <v>14</v>
      </c>
      <c r="F54" s="4" t="s">
        <v>51</v>
      </c>
      <c r="G54" s="23">
        <v>15.5</v>
      </c>
      <c r="H54" s="4">
        <v>2024</v>
      </c>
      <c r="I54" s="4" t="s">
        <v>326</v>
      </c>
      <c r="J54" s="1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 x14ac:dyDescent="0.15">
      <c r="A55" s="4" t="s">
        <v>323</v>
      </c>
      <c r="B55" s="4" t="s">
        <v>61</v>
      </c>
      <c r="C55" s="22" t="s">
        <v>327</v>
      </c>
      <c r="D55" s="4" t="s">
        <v>325</v>
      </c>
      <c r="E55" s="4" t="s">
        <v>14</v>
      </c>
      <c r="F55" s="4" t="s">
        <v>51</v>
      </c>
      <c r="G55" s="23">
        <v>9.4700000000000006</v>
      </c>
      <c r="H55" s="4">
        <v>2024</v>
      </c>
      <c r="I55" s="4" t="s">
        <v>326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 x14ac:dyDescent="0.15">
      <c r="A56" s="4" t="s">
        <v>323</v>
      </c>
      <c r="B56" s="4" t="s">
        <v>61</v>
      </c>
      <c r="C56" s="22" t="s">
        <v>328</v>
      </c>
      <c r="D56" s="4" t="s">
        <v>325</v>
      </c>
      <c r="E56" s="4" t="s">
        <v>14</v>
      </c>
      <c r="F56" s="4" t="s">
        <v>51</v>
      </c>
      <c r="G56" s="23">
        <v>17.899999999999999</v>
      </c>
      <c r="H56" s="4">
        <v>2024</v>
      </c>
      <c r="I56" s="4" t="s">
        <v>326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 x14ac:dyDescent="0.15">
      <c r="A57" s="4" t="s">
        <v>323</v>
      </c>
      <c r="B57" s="4" t="s">
        <v>61</v>
      </c>
      <c r="C57" s="22" t="s">
        <v>329</v>
      </c>
      <c r="D57" s="4" t="s">
        <v>325</v>
      </c>
      <c r="E57" s="4" t="s">
        <v>14</v>
      </c>
      <c r="F57" s="4" t="s">
        <v>51</v>
      </c>
      <c r="G57" s="23">
        <v>8.15</v>
      </c>
      <c r="H57" s="4">
        <v>2024</v>
      </c>
      <c r="I57" s="4" t="s">
        <v>326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 x14ac:dyDescent="0.15">
      <c r="A58" s="4" t="s">
        <v>323</v>
      </c>
      <c r="B58" s="4" t="s">
        <v>61</v>
      </c>
      <c r="C58" s="22" t="s">
        <v>330</v>
      </c>
      <c r="D58" s="4" t="s">
        <v>325</v>
      </c>
      <c r="E58" s="4" t="s">
        <v>14</v>
      </c>
      <c r="F58" s="4" t="s">
        <v>51</v>
      </c>
      <c r="G58" s="23">
        <v>11.7</v>
      </c>
      <c r="H58" s="4">
        <v>2025</v>
      </c>
      <c r="I58" s="4" t="s">
        <v>326</v>
      </c>
      <c r="J58" s="1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 x14ac:dyDescent="0.15">
      <c r="A59" s="4" t="s">
        <v>323</v>
      </c>
      <c r="B59" s="4" t="s">
        <v>331</v>
      </c>
      <c r="C59" s="22" t="s">
        <v>332</v>
      </c>
      <c r="D59" s="4" t="s">
        <v>325</v>
      </c>
      <c r="E59" s="4" t="s">
        <v>14</v>
      </c>
      <c r="F59" s="4" t="s">
        <v>51</v>
      </c>
      <c r="G59" s="23">
        <v>9.35</v>
      </c>
      <c r="H59" s="4">
        <v>2025</v>
      </c>
      <c r="I59" s="4" t="s">
        <v>326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 x14ac:dyDescent="0.15">
      <c r="A60" s="4" t="s">
        <v>323</v>
      </c>
      <c r="B60" s="4" t="s">
        <v>61</v>
      </c>
      <c r="C60" s="22" t="s">
        <v>333</v>
      </c>
      <c r="D60" s="4" t="s">
        <v>325</v>
      </c>
      <c r="E60" s="4" t="s">
        <v>14</v>
      </c>
      <c r="F60" s="4" t="s">
        <v>51</v>
      </c>
      <c r="G60" s="23">
        <v>9.3000000000000007</v>
      </c>
      <c r="H60" s="4">
        <v>2026</v>
      </c>
      <c r="I60" s="4" t="s">
        <v>326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 x14ac:dyDescent="0.15">
      <c r="A61" s="4" t="s">
        <v>323</v>
      </c>
      <c r="B61" s="4" t="s">
        <v>61</v>
      </c>
      <c r="C61" s="22" t="s">
        <v>334</v>
      </c>
      <c r="D61" s="4" t="s">
        <v>325</v>
      </c>
      <c r="E61" s="4" t="s">
        <v>14</v>
      </c>
      <c r="F61" s="4" t="s">
        <v>51</v>
      </c>
      <c r="G61" s="23">
        <v>29.9</v>
      </c>
      <c r="H61" s="4">
        <v>2026</v>
      </c>
      <c r="I61" s="4" t="s">
        <v>335</v>
      </c>
      <c r="J61" s="1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 x14ac:dyDescent="0.15">
      <c r="A62" s="4" t="s">
        <v>323</v>
      </c>
      <c r="B62" s="4" t="s">
        <v>61</v>
      </c>
      <c r="C62" s="22" t="s">
        <v>336</v>
      </c>
      <c r="D62" s="4" t="s">
        <v>325</v>
      </c>
      <c r="E62" s="4" t="s">
        <v>14</v>
      </c>
      <c r="F62" s="4" t="s">
        <v>51</v>
      </c>
      <c r="G62" s="23">
        <v>48.5</v>
      </c>
      <c r="H62" s="4">
        <v>2026</v>
      </c>
      <c r="I62" s="4" t="s">
        <v>337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 x14ac:dyDescent="0.15">
      <c r="A63" s="4" t="s">
        <v>323</v>
      </c>
      <c r="B63" s="4" t="s">
        <v>61</v>
      </c>
      <c r="C63" s="22" t="s">
        <v>338</v>
      </c>
      <c r="D63" s="4" t="s">
        <v>325</v>
      </c>
      <c r="E63" s="4" t="s">
        <v>14</v>
      </c>
      <c r="F63" s="4" t="s">
        <v>51</v>
      </c>
      <c r="G63" s="23">
        <v>10.199999999999999</v>
      </c>
      <c r="H63" s="4">
        <v>2026</v>
      </c>
      <c r="I63" s="4" t="s">
        <v>339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 x14ac:dyDescent="0.15">
      <c r="A64" s="4" t="s">
        <v>323</v>
      </c>
      <c r="B64" s="4" t="s">
        <v>61</v>
      </c>
      <c r="C64" s="22" t="s">
        <v>340</v>
      </c>
      <c r="D64" s="4" t="s">
        <v>325</v>
      </c>
      <c r="E64" s="4" t="s">
        <v>14</v>
      </c>
      <c r="F64" s="4" t="s">
        <v>51</v>
      </c>
      <c r="G64" s="23">
        <v>12.4</v>
      </c>
      <c r="H64" s="4">
        <v>2026</v>
      </c>
      <c r="I64" s="4" t="s">
        <v>341</v>
      </c>
      <c r="J64" s="1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 x14ac:dyDescent="0.15">
      <c r="A65" s="4" t="s">
        <v>323</v>
      </c>
      <c r="B65" s="4" t="s">
        <v>61</v>
      </c>
      <c r="C65" s="22" t="s">
        <v>342</v>
      </c>
      <c r="D65" s="4" t="s">
        <v>325</v>
      </c>
      <c r="E65" s="4" t="s">
        <v>14</v>
      </c>
      <c r="F65" s="4" t="s">
        <v>51</v>
      </c>
      <c r="G65" s="23">
        <v>17</v>
      </c>
      <c r="H65" s="4">
        <v>2026</v>
      </c>
      <c r="I65" s="4" t="s">
        <v>343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 x14ac:dyDescent="0.15">
      <c r="A66" s="4" t="s">
        <v>323</v>
      </c>
      <c r="B66" s="4" t="s">
        <v>61</v>
      </c>
      <c r="C66" s="22" t="s">
        <v>344</v>
      </c>
      <c r="D66" s="4" t="s">
        <v>325</v>
      </c>
      <c r="E66" s="4" t="s">
        <v>14</v>
      </c>
      <c r="F66" s="4" t="s">
        <v>51</v>
      </c>
      <c r="G66" s="23">
        <v>19.8</v>
      </c>
      <c r="H66" s="4">
        <v>2026</v>
      </c>
      <c r="I66" s="4" t="s">
        <v>345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 x14ac:dyDescent="0.15">
      <c r="A67" s="4" t="s">
        <v>346</v>
      </c>
      <c r="B67" s="4" t="s">
        <v>347</v>
      </c>
      <c r="C67" s="22" t="s">
        <v>348</v>
      </c>
      <c r="D67" s="4" t="s">
        <v>325</v>
      </c>
      <c r="E67" s="4" t="s">
        <v>14</v>
      </c>
      <c r="F67" s="4" t="s">
        <v>51</v>
      </c>
      <c r="G67" s="23">
        <v>11.03</v>
      </c>
      <c r="H67" s="4">
        <v>2028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 x14ac:dyDescent="0.15">
      <c r="A68" s="4" t="s">
        <v>349</v>
      </c>
      <c r="B68" s="4" t="s">
        <v>350</v>
      </c>
      <c r="C68" s="22" t="s">
        <v>351</v>
      </c>
      <c r="D68" s="4" t="s">
        <v>245</v>
      </c>
      <c r="E68" s="4" t="s">
        <v>14</v>
      </c>
      <c r="F68" s="4" t="s">
        <v>51</v>
      </c>
      <c r="G68" s="23">
        <v>24.9</v>
      </c>
      <c r="H68" s="4">
        <v>2027</v>
      </c>
      <c r="I68" s="4"/>
      <c r="J68" s="1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 x14ac:dyDescent="0.15">
      <c r="A69" s="4" t="s">
        <v>349</v>
      </c>
      <c r="B69" s="4" t="s">
        <v>352</v>
      </c>
      <c r="C69" s="22" t="s">
        <v>353</v>
      </c>
      <c r="D69" s="4" t="s">
        <v>245</v>
      </c>
      <c r="E69" s="4" t="s">
        <v>14</v>
      </c>
      <c r="F69" s="4" t="s">
        <v>51</v>
      </c>
      <c r="G69" s="23">
        <v>10.199999999999999</v>
      </c>
      <c r="H69" s="4">
        <v>2027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 x14ac:dyDescent="0.15">
      <c r="A70" s="4" t="s">
        <v>349</v>
      </c>
      <c r="B70" s="4" t="s">
        <v>354</v>
      </c>
      <c r="C70" s="22" t="s">
        <v>355</v>
      </c>
      <c r="D70" s="4" t="s">
        <v>245</v>
      </c>
      <c r="E70" s="4" t="s">
        <v>14</v>
      </c>
      <c r="F70" s="4" t="s">
        <v>51</v>
      </c>
      <c r="G70" s="23">
        <v>9.0500000000000007</v>
      </c>
      <c r="H70" s="4">
        <v>2027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 x14ac:dyDescent="0.15">
      <c r="A71" s="4" t="s">
        <v>356</v>
      </c>
      <c r="B71" s="4" t="s">
        <v>311</v>
      </c>
      <c r="C71" s="22" t="s">
        <v>357</v>
      </c>
      <c r="D71" s="4" t="s">
        <v>245</v>
      </c>
      <c r="E71" s="4" t="s">
        <v>14</v>
      </c>
      <c r="F71" s="4" t="s">
        <v>51</v>
      </c>
      <c r="G71" s="23">
        <v>11.27</v>
      </c>
      <c r="H71" s="4">
        <v>2024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 x14ac:dyDescent="0.15">
      <c r="A72" s="4" t="s">
        <v>356</v>
      </c>
      <c r="B72" s="4" t="s">
        <v>311</v>
      </c>
      <c r="C72" s="22" t="s">
        <v>358</v>
      </c>
      <c r="D72" s="4" t="s">
        <v>245</v>
      </c>
      <c r="E72" s="4" t="s">
        <v>14</v>
      </c>
      <c r="F72" s="4" t="s">
        <v>51</v>
      </c>
      <c r="G72" s="23">
        <v>11.71</v>
      </c>
      <c r="H72" s="4">
        <v>2024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 x14ac:dyDescent="0.15">
      <c r="A73" s="4" t="s">
        <v>356</v>
      </c>
      <c r="B73" s="4" t="s">
        <v>359</v>
      </c>
      <c r="C73" s="22" t="s">
        <v>360</v>
      </c>
      <c r="D73" s="4" t="s">
        <v>245</v>
      </c>
      <c r="E73" s="4" t="s">
        <v>14</v>
      </c>
      <c r="F73" s="4" t="s">
        <v>51</v>
      </c>
      <c r="G73" s="23">
        <v>13.1</v>
      </c>
      <c r="H73" s="4">
        <v>2024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 x14ac:dyDescent="0.15">
      <c r="A74" s="4" t="s">
        <v>356</v>
      </c>
      <c r="B74" s="4" t="s">
        <v>359</v>
      </c>
      <c r="C74" s="22" t="s">
        <v>361</v>
      </c>
      <c r="D74" s="4" t="s">
        <v>245</v>
      </c>
      <c r="E74" s="4" t="s">
        <v>14</v>
      </c>
      <c r="F74" s="4" t="s">
        <v>51</v>
      </c>
      <c r="G74" s="23">
        <v>9.16</v>
      </c>
      <c r="H74" s="4">
        <v>2024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 x14ac:dyDescent="0.15">
      <c r="A75" s="4" t="s">
        <v>356</v>
      </c>
      <c r="B75" s="4" t="s">
        <v>359</v>
      </c>
      <c r="C75" s="22" t="s">
        <v>362</v>
      </c>
      <c r="D75" s="4" t="s">
        <v>245</v>
      </c>
      <c r="E75" s="4" t="s">
        <v>14</v>
      </c>
      <c r="F75" s="4" t="s">
        <v>51</v>
      </c>
      <c r="G75" s="23">
        <v>11.4</v>
      </c>
      <c r="H75" s="4">
        <v>2024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 x14ac:dyDescent="0.15">
      <c r="A76" s="4" t="s">
        <v>356</v>
      </c>
      <c r="B76" s="4" t="s">
        <v>359</v>
      </c>
      <c r="C76" s="22" t="s">
        <v>363</v>
      </c>
      <c r="D76" s="4" t="s">
        <v>245</v>
      </c>
      <c r="E76" s="4" t="s">
        <v>14</v>
      </c>
      <c r="F76" s="4" t="s">
        <v>51</v>
      </c>
      <c r="G76" s="23">
        <v>12.5</v>
      </c>
      <c r="H76" s="4">
        <v>2024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 x14ac:dyDescent="0.15">
      <c r="A77" s="4" t="s">
        <v>356</v>
      </c>
      <c r="B77" s="4" t="s">
        <v>359</v>
      </c>
      <c r="C77" s="22" t="s">
        <v>364</v>
      </c>
      <c r="D77" s="4" t="s">
        <v>245</v>
      </c>
      <c r="E77" s="4" t="s">
        <v>14</v>
      </c>
      <c r="F77" s="4" t="s">
        <v>51</v>
      </c>
      <c r="G77" s="23">
        <v>13.1</v>
      </c>
      <c r="H77" s="4">
        <v>2024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 x14ac:dyDescent="0.15">
      <c r="A78" s="4" t="s">
        <v>356</v>
      </c>
      <c r="B78" s="4" t="s">
        <v>359</v>
      </c>
      <c r="C78" s="22" t="s">
        <v>365</v>
      </c>
      <c r="D78" s="4" t="s">
        <v>245</v>
      </c>
      <c r="E78" s="4" t="s">
        <v>14</v>
      </c>
      <c r="F78" s="4" t="s">
        <v>51</v>
      </c>
      <c r="G78" s="23">
        <v>11.6</v>
      </c>
      <c r="H78" s="4">
        <v>2024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 x14ac:dyDescent="0.15">
      <c r="A79" s="4" t="s">
        <v>356</v>
      </c>
      <c r="B79" s="4" t="s">
        <v>366</v>
      </c>
      <c r="C79" s="22" t="s">
        <v>367</v>
      </c>
      <c r="D79" s="4" t="s">
        <v>245</v>
      </c>
      <c r="E79" s="4" t="s">
        <v>14</v>
      </c>
      <c r="F79" s="4" t="s">
        <v>51</v>
      </c>
      <c r="G79" s="23">
        <v>9.5120000000000005</v>
      </c>
      <c r="H79" s="4">
        <v>2024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 x14ac:dyDescent="0.15">
      <c r="A80" s="4" t="s">
        <v>356</v>
      </c>
      <c r="B80" s="4" t="s">
        <v>366</v>
      </c>
      <c r="C80" s="22" t="s">
        <v>368</v>
      </c>
      <c r="D80" s="4" t="s">
        <v>369</v>
      </c>
      <c r="E80" s="4" t="s">
        <v>14</v>
      </c>
      <c r="F80" s="4" t="s">
        <v>51</v>
      </c>
      <c r="G80" s="23">
        <v>15.925000000000001</v>
      </c>
      <c r="H80" s="4">
        <v>2024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 x14ac:dyDescent="0.15">
      <c r="A81" s="4" t="s">
        <v>356</v>
      </c>
      <c r="B81" s="4" t="s">
        <v>370</v>
      </c>
      <c r="C81" s="22" t="s">
        <v>371</v>
      </c>
      <c r="D81" s="4" t="s">
        <v>245</v>
      </c>
      <c r="E81" s="4" t="s">
        <v>14</v>
      </c>
      <c r="F81" s="4" t="s">
        <v>51</v>
      </c>
      <c r="G81" s="23">
        <v>9.83</v>
      </c>
      <c r="H81" s="4">
        <v>2024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 x14ac:dyDescent="0.15">
      <c r="A82" s="4" t="s">
        <v>356</v>
      </c>
      <c r="B82" s="4" t="s">
        <v>370</v>
      </c>
      <c r="C82" s="22" t="s">
        <v>372</v>
      </c>
      <c r="D82" s="4" t="s">
        <v>245</v>
      </c>
      <c r="E82" s="4" t="s">
        <v>14</v>
      </c>
      <c r="F82" s="4" t="s">
        <v>51</v>
      </c>
      <c r="G82" s="23">
        <v>14</v>
      </c>
      <c r="H82" s="4">
        <v>2024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 x14ac:dyDescent="0.15">
      <c r="A83" s="4" t="s">
        <v>356</v>
      </c>
      <c r="B83" s="4" t="s">
        <v>373</v>
      </c>
      <c r="C83" s="22" t="s">
        <v>374</v>
      </c>
      <c r="D83" s="4" t="s">
        <v>245</v>
      </c>
      <c r="E83" s="4" t="s">
        <v>14</v>
      </c>
      <c r="F83" s="4" t="s">
        <v>51</v>
      </c>
      <c r="G83" s="23">
        <v>11.6</v>
      </c>
      <c r="H83" s="4">
        <v>2024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 x14ac:dyDescent="0.15">
      <c r="A84" s="4" t="s">
        <v>356</v>
      </c>
      <c r="B84" s="4" t="s">
        <v>375</v>
      </c>
      <c r="C84" s="22" t="s">
        <v>357</v>
      </c>
      <c r="D84" s="4" t="s">
        <v>245</v>
      </c>
      <c r="E84" s="4" t="s">
        <v>14</v>
      </c>
      <c r="F84" s="4" t="s">
        <v>51</v>
      </c>
      <c r="G84" s="23">
        <v>11.27</v>
      </c>
      <c r="H84" s="4">
        <v>2024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x14ac:dyDescent="0.15">
      <c r="A85" s="4" t="s">
        <v>356</v>
      </c>
      <c r="B85" s="4" t="s">
        <v>376</v>
      </c>
      <c r="C85" s="22" t="s">
        <v>358</v>
      </c>
      <c r="D85" s="4" t="s">
        <v>245</v>
      </c>
      <c r="E85" s="4" t="s">
        <v>14</v>
      </c>
      <c r="F85" s="4" t="s">
        <v>51</v>
      </c>
      <c r="G85" s="23">
        <v>11.71</v>
      </c>
      <c r="H85" s="4">
        <v>2024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x14ac:dyDescent="0.15">
      <c r="A86" s="4" t="s">
        <v>356</v>
      </c>
      <c r="B86" s="4" t="s">
        <v>311</v>
      </c>
      <c r="C86" s="22" t="s">
        <v>377</v>
      </c>
      <c r="D86" s="4" t="s">
        <v>369</v>
      </c>
      <c r="E86" s="4" t="s">
        <v>14</v>
      </c>
      <c r="F86" s="4" t="s">
        <v>51</v>
      </c>
      <c r="G86" s="23">
        <v>10.1</v>
      </c>
      <c r="H86" s="4">
        <v>2025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x14ac:dyDescent="0.15">
      <c r="A87" s="4" t="s">
        <v>356</v>
      </c>
      <c r="B87" s="4" t="s">
        <v>378</v>
      </c>
      <c r="C87" s="22" t="s">
        <v>379</v>
      </c>
      <c r="D87" s="4" t="s">
        <v>369</v>
      </c>
      <c r="E87" s="4" t="s">
        <v>14</v>
      </c>
      <c r="F87" s="4" t="s">
        <v>51</v>
      </c>
      <c r="G87" s="23">
        <v>15.4</v>
      </c>
      <c r="H87" s="4">
        <v>2025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x14ac:dyDescent="0.15">
      <c r="A88" s="4" t="s">
        <v>356</v>
      </c>
      <c r="B88" s="4" t="s">
        <v>366</v>
      </c>
      <c r="C88" s="22" t="s">
        <v>380</v>
      </c>
      <c r="D88" s="4" t="s">
        <v>369</v>
      </c>
      <c r="E88" s="4" t="s">
        <v>14</v>
      </c>
      <c r="F88" s="4" t="s">
        <v>51</v>
      </c>
      <c r="G88" s="23">
        <v>11.2</v>
      </c>
      <c r="H88" s="4">
        <v>2025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x14ac:dyDescent="0.15">
      <c r="A89" s="4" t="s">
        <v>356</v>
      </c>
      <c r="B89" s="4" t="s">
        <v>381</v>
      </c>
      <c r="C89" s="22" t="s">
        <v>382</v>
      </c>
      <c r="D89" s="4" t="s">
        <v>245</v>
      </c>
      <c r="E89" s="4" t="s">
        <v>14</v>
      </c>
      <c r="F89" s="4" t="s">
        <v>51</v>
      </c>
      <c r="G89" s="23">
        <v>19.149999999999999</v>
      </c>
      <c r="H89" s="4">
        <v>2025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x14ac:dyDescent="0.15">
      <c r="A90" s="4" t="s">
        <v>356</v>
      </c>
      <c r="B90" s="4" t="s">
        <v>383</v>
      </c>
      <c r="C90" s="22" t="s">
        <v>384</v>
      </c>
      <c r="D90" s="4" t="s">
        <v>245</v>
      </c>
      <c r="E90" s="4" t="s">
        <v>14</v>
      </c>
      <c r="F90" s="4" t="s">
        <v>51</v>
      </c>
      <c r="G90" s="23">
        <v>11.18</v>
      </c>
      <c r="H90" s="4">
        <v>2025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x14ac:dyDescent="0.15">
      <c r="A91" s="4" t="s">
        <v>356</v>
      </c>
      <c r="B91" s="4" t="s">
        <v>385</v>
      </c>
      <c r="C91" s="22" t="s">
        <v>386</v>
      </c>
      <c r="D91" s="4" t="s">
        <v>245</v>
      </c>
      <c r="E91" s="4" t="s">
        <v>14</v>
      </c>
      <c r="F91" s="4" t="s">
        <v>51</v>
      </c>
      <c r="G91" s="23">
        <v>12.16</v>
      </c>
      <c r="H91" s="4">
        <v>2025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x14ac:dyDescent="0.15">
      <c r="A92" s="4" t="s">
        <v>387</v>
      </c>
      <c r="B92" s="4" t="s">
        <v>388</v>
      </c>
      <c r="C92" s="22" t="s">
        <v>389</v>
      </c>
      <c r="D92" s="4" t="s">
        <v>369</v>
      </c>
      <c r="E92" s="4" t="s">
        <v>14</v>
      </c>
      <c r="F92" s="4" t="s">
        <v>51</v>
      </c>
      <c r="G92" s="23">
        <v>10.4</v>
      </c>
      <c r="H92" s="4">
        <v>2027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x14ac:dyDescent="0.15">
      <c r="A93" s="4" t="s">
        <v>387</v>
      </c>
      <c r="B93" s="4" t="s">
        <v>388</v>
      </c>
      <c r="C93" s="22" t="s">
        <v>390</v>
      </c>
      <c r="D93" s="4" t="s">
        <v>369</v>
      </c>
      <c r="E93" s="4" t="s">
        <v>14</v>
      </c>
      <c r="F93" s="4" t="s">
        <v>51</v>
      </c>
      <c r="G93" s="23">
        <v>13</v>
      </c>
      <c r="H93" s="4">
        <v>2027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x14ac:dyDescent="0.15">
      <c r="A94" s="4" t="s">
        <v>387</v>
      </c>
      <c r="B94" s="4" t="s">
        <v>388</v>
      </c>
      <c r="C94" s="22" t="s">
        <v>391</v>
      </c>
      <c r="D94" s="4" t="s">
        <v>369</v>
      </c>
      <c r="E94" s="4" t="s">
        <v>14</v>
      </c>
      <c r="F94" s="4" t="s">
        <v>51</v>
      </c>
      <c r="G94" s="23">
        <v>11.4</v>
      </c>
      <c r="H94" s="4">
        <v>2027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x14ac:dyDescent="0.15">
      <c r="A95" s="4" t="s">
        <v>387</v>
      </c>
      <c r="B95" s="4" t="s">
        <v>366</v>
      </c>
      <c r="C95" s="22" t="s">
        <v>392</v>
      </c>
      <c r="D95" s="4" t="s">
        <v>369</v>
      </c>
      <c r="E95" s="4" t="s">
        <v>14</v>
      </c>
      <c r="F95" s="4" t="s">
        <v>51</v>
      </c>
      <c r="G95" s="23">
        <v>10.4</v>
      </c>
      <c r="H95" s="4">
        <v>2028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x14ac:dyDescent="0.15">
      <c r="A96" s="4" t="s">
        <v>387</v>
      </c>
      <c r="B96" s="4" t="s">
        <v>393</v>
      </c>
      <c r="C96" s="22" t="s">
        <v>394</v>
      </c>
      <c r="D96" s="4" t="s">
        <v>369</v>
      </c>
      <c r="E96" s="4" t="s">
        <v>14</v>
      </c>
      <c r="F96" s="4" t="s">
        <v>51</v>
      </c>
      <c r="G96" s="23">
        <v>13.9</v>
      </c>
      <c r="H96" s="4">
        <v>2028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x14ac:dyDescent="0.15">
      <c r="A97" s="4" t="s">
        <v>387</v>
      </c>
      <c r="B97" s="4" t="s">
        <v>311</v>
      </c>
      <c r="C97" s="22" t="s">
        <v>395</v>
      </c>
      <c r="D97" s="4" t="s">
        <v>369</v>
      </c>
      <c r="E97" s="4" t="s">
        <v>14</v>
      </c>
      <c r="F97" s="4" t="s">
        <v>51</v>
      </c>
      <c r="G97" s="23">
        <v>10.9</v>
      </c>
      <c r="H97" s="4">
        <v>2028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15">
      <c r="A98" s="4" t="s">
        <v>396</v>
      </c>
      <c r="B98" s="4" t="s">
        <v>366</v>
      </c>
      <c r="C98" s="22" t="s">
        <v>397</v>
      </c>
      <c r="D98" s="4" t="s">
        <v>398</v>
      </c>
      <c r="E98" s="4" t="s">
        <v>14</v>
      </c>
      <c r="F98" s="4" t="s">
        <v>51</v>
      </c>
      <c r="G98" s="23">
        <v>8.4700000000000006</v>
      </c>
      <c r="H98" s="4">
        <v>2027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15">
      <c r="A99" s="4" t="s">
        <v>399</v>
      </c>
      <c r="B99" s="4" t="s">
        <v>400</v>
      </c>
      <c r="C99" s="22" t="s">
        <v>401</v>
      </c>
      <c r="D99" s="4" t="s">
        <v>369</v>
      </c>
      <c r="E99" s="4" t="s">
        <v>14</v>
      </c>
      <c r="F99" s="4" t="s">
        <v>51</v>
      </c>
      <c r="G99" s="23">
        <v>17.2</v>
      </c>
      <c r="H99" s="4">
        <v>2024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15">
      <c r="A100" s="4" t="s">
        <v>399</v>
      </c>
      <c r="B100" s="4" t="s">
        <v>388</v>
      </c>
      <c r="C100" s="22" t="s">
        <v>402</v>
      </c>
      <c r="D100" s="4" t="s">
        <v>369</v>
      </c>
      <c r="E100" s="4" t="s">
        <v>14</v>
      </c>
      <c r="F100" s="4" t="s">
        <v>51</v>
      </c>
      <c r="G100" s="23">
        <v>15.51</v>
      </c>
      <c r="H100" s="4">
        <v>2024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15">
      <c r="A101" s="4" t="s">
        <v>399</v>
      </c>
      <c r="B101" s="4" t="s">
        <v>403</v>
      </c>
      <c r="C101" s="22" t="s">
        <v>404</v>
      </c>
      <c r="D101" s="4" t="s">
        <v>405</v>
      </c>
      <c r="E101" s="4" t="s">
        <v>14</v>
      </c>
      <c r="F101" s="4" t="s">
        <v>51</v>
      </c>
      <c r="G101" s="23">
        <v>9.4700000000000006</v>
      </c>
      <c r="H101" s="4">
        <v>2027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15">
      <c r="A102" s="4" t="s">
        <v>399</v>
      </c>
      <c r="B102" s="4" t="s">
        <v>347</v>
      </c>
      <c r="C102" s="22" t="s">
        <v>406</v>
      </c>
      <c r="D102" s="4" t="s">
        <v>325</v>
      </c>
      <c r="E102" s="4" t="s">
        <v>14</v>
      </c>
      <c r="F102" s="4" t="s">
        <v>51</v>
      </c>
      <c r="G102" s="23">
        <v>11</v>
      </c>
      <c r="H102" s="4">
        <v>2028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15">
      <c r="A103" s="4" t="s">
        <v>407</v>
      </c>
      <c r="B103" s="4" t="s">
        <v>408</v>
      </c>
      <c r="C103" s="22" t="s">
        <v>409</v>
      </c>
      <c r="D103" s="4" t="s">
        <v>410</v>
      </c>
      <c r="E103" s="4" t="s">
        <v>14</v>
      </c>
      <c r="F103" s="4" t="s">
        <v>51</v>
      </c>
      <c r="G103" s="23">
        <v>7.26</v>
      </c>
      <c r="H103" s="4">
        <v>2027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15">
      <c r="A104" s="4" t="s">
        <v>411</v>
      </c>
      <c r="B104" s="4" t="s">
        <v>412</v>
      </c>
      <c r="C104" s="22" t="s">
        <v>413</v>
      </c>
      <c r="D104" s="4" t="s">
        <v>245</v>
      </c>
      <c r="E104" s="4" t="s">
        <v>14</v>
      </c>
      <c r="F104" s="4" t="s">
        <v>51</v>
      </c>
      <c r="G104" s="23">
        <v>13.5</v>
      </c>
      <c r="H104" s="4">
        <v>2026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15"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15"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15"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15"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15"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 x14ac:dyDescent="0.15"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 x14ac:dyDescent="0.15"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 x14ac:dyDescent="0.15"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0:28" ht="15.75" customHeight="1" x14ac:dyDescent="0.15"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0:28" ht="15.75" customHeight="1" x14ac:dyDescent="0.15"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0:28" ht="15.75" customHeight="1" x14ac:dyDescent="0.15"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0:28" ht="15.75" customHeight="1" x14ac:dyDescent="0.15"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0:28" ht="15.75" customHeight="1" x14ac:dyDescent="0.15"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0:28" ht="15.75" customHeight="1" x14ac:dyDescent="0.15"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0:28" ht="15.75" customHeight="1" x14ac:dyDescent="0.15"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0:28" ht="15.75" customHeight="1" x14ac:dyDescent="0.15"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0:28" ht="15.75" customHeight="1" x14ac:dyDescent="0.15"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0:28" ht="15.75" customHeight="1" x14ac:dyDescent="0.15"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0:28" ht="15.75" customHeight="1" x14ac:dyDescent="0.15"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0:28" ht="15.75" customHeight="1" x14ac:dyDescent="0.15"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0:28" ht="15.75" customHeight="1" x14ac:dyDescent="0.15"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0:28" ht="15.75" customHeight="1" x14ac:dyDescent="0.15"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0:28" ht="15.75" customHeight="1" x14ac:dyDescent="0.15"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0:28" ht="15.75" customHeight="1" x14ac:dyDescent="0.15"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 x14ac:dyDescent="0.15"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 x14ac:dyDescent="0.15"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 x14ac:dyDescent="0.15"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 x14ac:dyDescent="0.15"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 x14ac:dyDescent="0.15"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 x14ac:dyDescent="0.15"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 x14ac:dyDescent="0.15"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 x14ac:dyDescent="0.15"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1"/>
  </mergeCells>
  <hyperlinks>
    <hyperlink ref="C3" r:id="rId1" xr:uid="{00000000-0004-0000-0400-000000000000}"/>
    <hyperlink ref="C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8" r:id="rId6" xr:uid="{00000000-0004-0000-0400-000005000000}"/>
    <hyperlink ref="C9" r:id="rId7" xr:uid="{00000000-0004-0000-0400-000006000000}"/>
    <hyperlink ref="C10" r:id="rId8" xr:uid="{00000000-0004-0000-0400-000007000000}"/>
    <hyperlink ref="C11" r:id="rId9" xr:uid="{00000000-0004-0000-0400-000008000000}"/>
    <hyperlink ref="C12" r:id="rId10" xr:uid="{00000000-0004-0000-0400-000009000000}"/>
    <hyperlink ref="C13" r:id="rId11" xr:uid="{00000000-0004-0000-0400-00000A000000}"/>
    <hyperlink ref="C14" r:id="rId12" xr:uid="{00000000-0004-0000-0400-00000B000000}"/>
    <hyperlink ref="C15" r:id="rId13" xr:uid="{00000000-0004-0000-0400-00000C000000}"/>
    <hyperlink ref="C16" r:id="rId14" xr:uid="{00000000-0004-0000-0400-00000D000000}"/>
    <hyperlink ref="C17" r:id="rId15" xr:uid="{00000000-0004-0000-0400-00000E000000}"/>
    <hyperlink ref="C18" r:id="rId16" xr:uid="{00000000-0004-0000-0400-00000F000000}"/>
    <hyperlink ref="C19" r:id="rId17" xr:uid="{00000000-0004-0000-0400-000010000000}"/>
    <hyperlink ref="C20" r:id="rId18" xr:uid="{00000000-0004-0000-0400-000011000000}"/>
    <hyperlink ref="C21" r:id="rId19" xr:uid="{00000000-0004-0000-0400-000012000000}"/>
    <hyperlink ref="C22" r:id="rId20" xr:uid="{00000000-0004-0000-0400-000013000000}"/>
    <hyperlink ref="C23" r:id="rId21" xr:uid="{00000000-0004-0000-0400-000014000000}"/>
    <hyperlink ref="C24" r:id="rId22" xr:uid="{00000000-0004-0000-0400-000015000000}"/>
    <hyperlink ref="C25" r:id="rId23" xr:uid="{00000000-0004-0000-0400-000016000000}"/>
    <hyperlink ref="C26" r:id="rId24" xr:uid="{00000000-0004-0000-0400-000017000000}"/>
    <hyperlink ref="C27" r:id="rId25" xr:uid="{00000000-0004-0000-0400-000018000000}"/>
    <hyperlink ref="C28" r:id="rId26" xr:uid="{00000000-0004-0000-0400-000019000000}"/>
    <hyperlink ref="C29" r:id="rId27" xr:uid="{00000000-0004-0000-0400-00001A000000}"/>
    <hyperlink ref="C30" r:id="rId28" xr:uid="{00000000-0004-0000-0400-00001B000000}"/>
    <hyperlink ref="C31" r:id="rId29" xr:uid="{00000000-0004-0000-0400-00001C000000}"/>
    <hyperlink ref="C32" r:id="rId30" xr:uid="{00000000-0004-0000-0400-00001D000000}"/>
    <hyperlink ref="C33" r:id="rId31" xr:uid="{00000000-0004-0000-0400-00001E000000}"/>
    <hyperlink ref="C34" r:id="rId32" xr:uid="{00000000-0004-0000-0400-00001F000000}"/>
    <hyperlink ref="C35" r:id="rId33" xr:uid="{00000000-0004-0000-0400-000020000000}"/>
    <hyperlink ref="C36" r:id="rId34" xr:uid="{00000000-0004-0000-0400-000021000000}"/>
    <hyperlink ref="C37" r:id="rId35" xr:uid="{00000000-0004-0000-0400-000022000000}"/>
    <hyperlink ref="C38" r:id="rId36" xr:uid="{00000000-0004-0000-0400-000023000000}"/>
    <hyperlink ref="C39" r:id="rId37" xr:uid="{00000000-0004-0000-0400-000024000000}"/>
    <hyperlink ref="C40" r:id="rId38" xr:uid="{00000000-0004-0000-0400-000025000000}"/>
    <hyperlink ref="C41" r:id="rId39" xr:uid="{00000000-0004-0000-0400-000026000000}"/>
    <hyperlink ref="C42" r:id="rId40" xr:uid="{00000000-0004-0000-0400-000027000000}"/>
    <hyperlink ref="C43" r:id="rId41" xr:uid="{00000000-0004-0000-0400-000028000000}"/>
    <hyperlink ref="C44" r:id="rId42" xr:uid="{00000000-0004-0000-0400-000029000000}"/>
    <hyperlink ref="C45" r:id="rId43" xr:uid="{00000000-0004-0000-0400-00002A000000}"/>
    <hyperlink ref="C46" r:id="rId44" xr:uid="{00000000-0004-0000-0400-00002B000000}"/>
    <hyperlink ref="C47" r:id="rId45" xr:uid="{00000000-0004-0000-0400-00002C000000}"/>
    <hyperlink ref="C48" r:id="rId46" xr:uid="{00000000-0004-0000-0400-00002D000000}"/>
    <hyperlink ref="C49" r:id="rId47" xr:uid="{00000000-0004-0000-0400-00002E000000}"/>
    <hyperlink ref="C50" r:id="rId48" xr:uid="{00000000-0004-0000-0400-00002F000000}"/>
    <hyperlink ref="C51" r:id="rId49" xr:uid="{00000000-0004-0000-0400-000030000000}"/>
    <hyperlink ref="C52" r:id="rId50" xr:uid="{00000000-0004-0000-0400-000031000000}"/>
    <hyperlink ref="C53" r:id="rId51" xr:uid="{00000000-0004-0000-0400-000032000000}"/>
    <hyperlink ref="C54" r:id="rId52" xr:uid="{00000000-0004-0000-0400-000033000000}"/>
    <hyperlink ref="C55" r:id="rId53" xr:uid="{00000000-0004-0000-0400-000034000000}"/>
    <hyperlink ref="C56" r:id="rId54" xr:uid="{00000000-0004-0000-0400-000035000000}"/>
    <hyperlink ref="C57" r:id="rId55" xr:uid="{00000000-0004-0000-0400-000036000000}"/>
    <hyperlink ref="C58" r:id="rId56" xr:uid="{00000000-0004-0000-0400-000037000000}"/>
    <hyperlink ref="C59" r:id="rId57" xr:uid="{00000000-0004-0000-0400-000038000000}"/>
    <hyperlink ref="C60" r:id="rId58" xr:uid="{00000000-0004-0000-0400-000039000000}"/>
    <hyperlink ref="C61" r:id="rId59" xr:uid="{00000000-0004-0000-0400-00003A000000}"/>
    <hyperlink ref="C62" r:id="rId60" xr:uid="{00000000-0004-0000-0400-00003B000000}"/>
    <hyperlink ref="C63" r:id="rId61" xr:uid="{00000000-0004-0000-0400-00003C000000}"/>
    <hyperlink ref="C64" r:id="rId62" xr:uid="{00000000-0004-0000-0400-00003D000000}"/>
    <hyperlink ref="C65" r:id="rId63" xr:uid="{00000000-0004-0000-0400-00003E000000}"/>
    <hyperlink ref="C66" r:id="rId64" xr:uid="{00000000-0004-0000-0400-00003F000000}"/>
    <hyperlink ref="C67" r:id="rId65" xr:uid="{00000000-0004-0000-0400-000040000000}"/>
    <hyperlink ref="C68" r:id="rId66" xr:uid="{00000000-0004-0000-0400-000041000000}"/>
    <hyperlink ref="C69" r:id="rId67" xr:uid="{00000000-0004-0000-0400-000042000000}"/>
    <hyperlink ref="C70" r:id="rId68" xr:uid="{00000000-0004-0000-0400-000043000000}"/>
    <hyperlink ref="C71" r:id="rId69" xr:uid="{00000000-0004-0000-0400-000044000000}"/>
    <hyperlink ref="C72" r:id="rId70" xr:uid="{00000000-0004-0000-0400-000045000000}"/>
    <hyperlink ref="C73" r:id="rId71" xr:uid="{00000000-0004-0000-0400-000046000000}"/>
    <hyperlink ref="C74" r:id="rId72" xr:uid="{00000000-0004-0000-0400-000047000000}"/>
    <hyperlink ref="C75" r:id="rId73" xr:uid="{00000000-0004-0000-0400-000048000000}"/>
    <hyperlink ref="C76" r:id="rId74" xr:uid="{00000000-0004-0000-0400-000049000000}"/>
    <hyperlink ref="C77" r:id="rId75" xr:uid="{00000000-0004-0000-0400-00004A000000}"/>
    <hyperlink ref="C78" r:id="rId76" xr:uid="{00000000-0004-0000-0400-00004B000000}"/>
    <hyperlink ref="C79" r:id="rId77" xr:uid="{00000000-0004-0000-0400-00004C000000}"/>
    <hyperlink ref="C80" r:id="rId78" xr:uid="{00000000-0004-0000-0400-00004D000000}"/>
    <hyperlink ref="C81" r:id="rId79" xr:uid="{00000000-0004-0000-0400-00004E000000}"/>
    <hyperlink ref="C82" r:id="rId80" xr:uid="{00000000-0004-0000-0400-00004F000000}"/>
    <hyperlink ref="C83" r:id="rId81" xr:uid="{00000000-0004-0000-0400-000050000000}"/>
    <hyperlink ref="C84" r:id="rId82" xr:uid="{00000000-0004-0000-0400-000051000000}"/>
    <hyperlink ref="C85" r:id="rId83" xr:uid="{00000000-0004-0000-0400-000052000000}"/>
    <hyperlink ref="C86" r:id="rId84" xr:uid="{00000000-0004-0000-0400-000053000000}"/>
    <hyperlink ref="C87" r:id="rId85" xr:uid="{00000000-0004-0000-0400-000054000000}"/>
    <hyperlink ref="C88" r:id="rId86" xr:uid="{00000000-0004-0000-0400-000055000000}"/>
    <hyperlink ref="C89" r:id="rId87" xr:uid="{00000000-0004-0000-0400-000056000000}"/>
    <hyperlink ref="C90" r:id="rId88" xr:uid="{00000000-0004-0000-0400-000057000000}"/>
    <hyperlink ref="C91" r:id="rId89" xr:uid="{00000000-0004-0000-0400-000058000000}"/>
    <hyperlink ref="C92" r:id="rId90" xr:uid="{00000000-0004-0000-0400-000059000000}"/>
    <hyperlink ref="C93" r:id="rId91" xr:uid="{00000000-0004-0000-0400-00005A000000}"/>
    <hyperlink ref="C94" r:id="rId92" xr:uid="{00000000-0004-0000-0400-00005B000000}"/>
    <hyperlink ref="C95" r:id="rId93" xr:uid="{00000000-0004-0000-0400-00005C000000}"/>
    <hyperlink ref="C96" r:id="rId94" xr:uid="{00000000-0004-0000-0400-00005D000000}"/>
    <hyperlink ref="C97" r:id="rId95" xr:uid="{00000000-0004-0000-0400-00005E000000}"/>
    <hyperlink ref="C98" r:id="rId96" xr:uid="{00000000-0004-0000-0400-00005F000000}"/>
    <hyperlink ref="C99" r:id="rId97" xr:uid="{00000000-0004-0000-0400-000060000000}"/>
    <hyperlink ref="C100" r:id="rId98" xr:uid="{00000000-0004-0000-0400-000061000000}"/>
    <hyperlink ref="C101" r:id="rId99" xr:uid="{00000000-0004-0000-0400-000062000000}"/>
    <hyperlink ref="C102" r:id="rId100" xr:uid="{00000000-0004-0000-0400-000063000000}"/>
    <hyperlink ref="C103" r:id="rId101" xr:uid="{00000000-0004-0000-0400-000064000000}"/>
    <hyperlink ref="C104" r:id="rId102" xr:uid="{00000000-0004-0000-0400-000065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>
      <selection activeCell="I38" sqref="I38"/>
    </sheetView>
  </sheetViews>
  <sheetFormatPr baseColWidth="10" defaultColWidth="12.6640625" defaultRowHeight="15" customHeight="1" x14ac:dyDescent="0.15"/>
  <cols>
    <col min="1" max="1" width="18.83203125" customWidth="1"/>
    <col min="2" max="3" width="30.83203125" customWidth="1"/>
    <col min="9" max="9" width="12.6640625" customWidth="1"/>
    <col min="11" max="13" width="15.33203125" customWidth="1"/>
  </cols>
  <sheetData>
    <row r="1" spans="1:29" ht="15.75" customHeight="1" x14ac:dyDescent="0.15">
      <c r="A1" s="90" t="s">
        <v>414</v>
      </c>
      <c r="B1" s="83"/>
      <c r="C1" s="83"/>
      <c r="D1" s="83"/>
      <c r="E1" s="83"/>
      <c r="F1" s="83"/>
      <c r="G1" s="83"/>
      <c r="H1" s="83"/>
      <c r="I1" s="8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15">
      <c r="A2" s="16" t="s">
        <v>5</v>
      </c>
      <c r="B2" s="16" t="s">
        <v>239</v>
      </c>
      <c r="C2" s="16" t="s">
        <v>240</v>
      </c>
      <c r="D2" s="16" t="s">
        <v>1</v>
      </c>
      <c r="E2" s="16" t="s">
        <v>6</v>
      </c>
      <c r="F2" s="16" t="s">
        <v>2</v>
      </c>
      <c r="G2" s="16" t="s">
        <v>3</v>
      </c>
      <c r="H2" s="16" t="s">
        <v>241</v>
      </c>
      <c r="I2" s="16" t="s">
        <v>7</v>
      </c>
      <c r="J2" s="16"/>
      <c r="K2" s="20"/>
      <c r="L2" s="21" t="s">
        <v>230</v>
      </c>
      <c r="M2" s="21" t="s">
        <v>2</v>
      </c>
      <c r="N2" s="16"/>
      <c r="O2" s="1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15">
      <c r="A3" s="4" t="s">
        <v>415</v>
      </c>
      <c r="B3" s="4" t="s">
        <v>416</v>
      </c>
      <c r="C3" s="22" t="s">
        <v>417</v>
      </c>
      <c r="D3" s="4" t="s">
        <v>325</v>
      </c>
      <c r="E3" s="4" t="s">
        <v>14</v>
      </c>
      <c r="F3" s="4" t="s">
        <v>51</v>
      </c>
      <c r="G3" s="23">
        <v>18.95</v>
      </c>
      <c r="H3" s="4">
        <v>2026</v>
      </c>
      <c r="I3" s="4" t="s">
        <v>95</v>
      </c>
      <c r="J3" s="4"/>
      <c r="K3" s="24" t="s">
        <v>232</v>
      </c>
      <c r="L3" s="25">
        <f>AVERAGE(G3:G38)</f>
        <v>20.108447222222225</v>
      </c>
      <c r="M3" s="26" t="s">
        <v>246</v>
      </c>
      <c r="N3" s="4"/>
      <c r="O3" s="4"/>
      <c r="P3" s="4"/>
      <c r="Q3" s="4"/>
      <c r="R3" s="4"/>
      <c r="S3" s="4"/>
      <c r="T3" s="4"/>
      <c r="U3" s="27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15">
      <c r="A4" s="4" t="s">
        <v>346</v>
      </c>
      <c r="B4" s="4" t="s">
        <v>418</v>
      </c>
      <c r="C4" s="22" t="s">
        <v>419</v>
      </c>
      <c r="D4" s="4" t="s">
        <v>369</v>
      </c>
      <c r="E4" s="4" t="s">
        <v>14</v>
      </c>
      <c r="F4" s="4" t="s">
        <v>51</v>
      </c>
      <c r="G4" s="23">
        <v>18</v>
      </c>
      <c r="H4" s="4">
        <v>2024</v>
      </c>
      <c r="I4" s="4" t="s">
        <v>95</v>
      </c>
      <c r="J4" s="4"/>
      <c r="K4" s="24" t="s">
        <v>235</v>
      </c>
      <c r="L4" s="25">
        <f>STDEV(G3:G38)</f>
        <v>7.0161266649457943</v>
      </c>
      <c r="M4" s="26" t="s">
        <v>246</v>
      </c>
      <c r="N4" s="4"/>
      <c r="O4" s="4"/>
      <c r="P4" s="4"/>
      <c r="Q4" s="4"/>
      <c r="R4" s="4"/>
      <c r="S4" s="4"/>
      <c r="T4" s="4"/>
      <c r="U4" s="27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15">
      <c r="A5" s="4" t="s">
        <v>346</v>
      </c>
      <c r="B5" s="4" t="s">
        <v>420</v>
      </c>
      <c r="C5" s="22" t="s">
        <v>421</v>
      </c>
      <c r="D5" s="4" t="s">
        <v>325</v>
      </c>
      <c r="E5" s="4" t="s">
        <v>14</v>
      </c>
      <c r="F5" s="4" t="s">
        <v>51</v>
      </c>
      <c r="G5" s="23">
        <v>13.39</v>
      </c>
      <c r="H5" s="4">
        <v>2027</v>
      </c>
      <c r="I5" s="4" t="s">
        <v>95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15">
      <c r="A6" s="4" t="s">
        <v>346</v>
      </c>
      <c r="B6" s="4" t="s">
        <v>422</v>
      </c>
      <c r="C6" s="22" t="s">
        <v>423</v>
      </c>
      <c r="D6" s="4" t="s">
        <v>325</v>
      </c>
      <c r="E6" s="4" t="s">
        <v>14</v>
      </c>
      <c r="F6" s="4" t="s">
        <v>51</v>
      </c>
      <c r="G6" s="23">
        <v>13.92</v>
      </c>
      <c r="H6" s="4">
        <v>2027</v>
      </c>
      <c r="I6" s="4" t="s">
        <v>95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 x14ac:dyDescent="0.15">
      <c r="A7" s="4" t="s">
        <v>346</v>
      </c>
      <c r="B7" s="4" t="s">
        <v>424</v>
      </c>
      <c r="C7" s="22" t="s">
        <v>425</v>
      </c>
      <c r="D7" s="4" t="s">
        <v>325</v>
      </c>
      <c r="E7" s="4" t="s">
        <v>14</v>
      </c>
      <c r="F7" s="4" t="s">
        <v>51</v>
      </c>
      <c r="G7" s="23">
        <v>13.39</v>
      </c>
      <c r="H7" s="4">
        <v>2027</v>
      </c>
      <c r="I7" s="4" t="s">
        <v>95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15">
      <c r="A8" s="4" t="s">
        <v>346</v>
      </c>
      <c r="B8" s="4" t="s">
        <v>426</v>
      </c>
      <c r="C8" s="22" t="s">
        <v>427</v>
      </c>
      <c r="D8" s="4" t="s">
        <v>325</v>
      </c>
      <c r="E8" s="4" t="s">
        <v>14</v>
      </c>
      <c r="F8" s="4" t="s">
        <v>51</v>
      </c>
      <c r="G8" s="23">
        <v>13.92</v>
      </c>
      <c r="H8" s="4">
        <v>2027</v>
      </c>
      <c r="I8" s="4" t="s">
        <v>95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15">
      <c r="A9" s="4" t="s">
        <v>346</v>
      </c>
      <c r="B9" s="4" t="s">
        <v>428</v>
      </c>
      <c r="C9" s="22" t="s">
        <v>429</v>
      </c>
      <c r="D9" s="4" t="s">
        <v>430</v>
      </c>
      <c r="E9" s="4" t="s">
        <v>14</v>
      </c>
      <c r="F9" s="4" t="s">
        <v>51</v>
      </c>
      <c r="G9" s="23">
        <v>15.11</v>
      </c>
      <c r="H9" s="4">
        <v>2027</v>
      </c>
      <c r="I9" s="4" t="s">
        <v>95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 x14ac:dyDescent="0.15">
      <c r="A10" s="4" t="s">
        <v>346</v>
      </c>
      <c r="B10" s="4" t="s">
        <v>431</v>
      </c>
      <c r="C10" s="22" t="s">
        <v>432</v>
      </c>
      <c r="D10" s="4" t="s">
        <v>430</v>
      </c>
      <c r="E10" s="4" t="s">
        <v>14</v>
      </c>
      <c r="F10" s="4" t="s">
        <v>51</v>
      </c>
      <c r="G10" s="23">
        <v>17.03</v>
      </c>
      <c r="H10" s="4">
        <v>2027</v>
      </c>
      <c r="I10" s="4" t="s">
        <v>95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 x14ac:dyDescent="0.15">
      <c r="A11" s="4" t="s">
        <v>346</v>
      </c>
      <c r="B11" s="4" t="s">
        <v>433</v>
      </c>
      <c r="C11" s="22" t="s">
        <v>434</v>
      </c>
      <c r="D11" s="4" t="s">
        <v>430</v>
      </c>
      <c r="E11" s="4" t="s">
        <v>14</v>
      </c>
      <c r="F11" s="4" t="s">
        <v>51</v>
      </c>
      <c r="G11" s="23">
        <v>19.3</v>
      </c>
      <c r="H11" s="4">
        <v>2027</v>
      </c>
      <c r="I11" s="4" t="s">
        <v>95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23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15">
      <c r="A12" s="4" t="s">
        <v>346</v>
      </c>
      <c r="B12" s="4" t="s">
        <v>435</v>
      </c>
      <c r="C12" s="22" t="s">
        <v>436</v>
      </c>
      <c r="D12" s="4" t="s">
        <v>430</v>
      </c>
      <c r="E12" s="4" t="s">
        <v>14</v>
      </c>
      <c r="F12" s="4" t="s">
        <v>51</v>
      </c>
      <c r="G12" s="23">
        <v>22.54</v>
      </c>
      <c r="H12" s="4">
        <v>2027</v>
      </c>
      <c r="I12" s="4" t="s">
        <v>95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27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15">
      <c r="A13" s="4" t="s">
        <v>346</v>
      </c>
      <c r="B13" s="4" t="s">
        <v>437</v>
      </c>
      <c r="C13" s="22" t="s">
        <v>438</v>
      </c>
      <c r="D13" s="4" t="s">
        <v>430</v>
      </c>
      <c r="E13" s="4" t="s">
        <v>14</v>
      </c>
      <c r="F13" s="4" t="s">
        <v>51</v>
      </c>
      <c r="G13" s="23">
        <v>22.07</v>
      </c>
      <c r="H13" s="4">
        <v>2027</v>
      </c>
      <c r="I13" s="4" t="s">
        <v>95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23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15">
      <c r="A14" s="4" t="s">
        <v>346</v>
      </c>
      <c r="B14" s="4" t="s">
        <v>439</v>
      </c>
      <c r="C14" s="22" t="s">
        <v>440</v>
      </c>
      <c r="D14" s="4" t="s">
        <v>430</v>
      </c>
      <c r="E14" s="4" t="s">
        <v>14</v>
      </c>
      <c r="F14" s="4" t="s">
        <v>51</v>
      </c>
      <c r="G14" s="23">
        <v>25.94</v>
      </c>
      <c r="H14" s="4">
        <v>2027</v>
      </c>
      <c r="I14" s="4" t="s">
        <v>95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23"/>
      <c r="V14" s="4"/>
      <c r="W14" s="4"/>
      <c r="X14" s="4"/>
      <c r="Y14" s="4"/>
      <c r="Z14" s="4"/>
      <c r="AA14" s="4"/>
      <c r="AB14" s="4"/>
      <c r="AC14" s="4"/>
    </row>
    <row r="15" spans="1:29" ht="15.75" customHeight="1" x14ac:dyDescent="0.15">
      <c r="A15" s="4" t="s">
        <v>346</v>
      </c>
      <c r="B15" s="4" t="s">
        <v>441</v>
      </c>
      <c r="C15" s="22" t="s">
        <v>442</v>
      </c>
      <c r="D15" s="4" t="s">
        <v>430</v>
      </c>
      <c r="E15" s="4" t="s">
        <v>14</v>
      </c>
      <c r="F15" s="4" t="s">
        <v>51</v>
      </c>
      <c r="G15" s="23">
        <v>29.63</v>
      </c>
      <c r="H15" s="4">
        <v>2027</v>
      </c>
      <c r="I15" s="4" t="s">
        <v>95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3"/>
      <c r="V15" s="4"/>
      <c r="W15" s="4"/>
      <c r="X15" s="4"/>
      <c r="Y15" s="4"/>
      <c r="Z15" s="4"/>
      <c r="AA15" s="4"/>
      <c r="AB15" s="4"/>
      <c r="AC15" s="4"/>
    </row>
    <row r="16" spans="1:29" ht="15.75" customHeight="1" x14ac:dyDescent="0.15">
      <c r="A16" s="4" t="s">
        <v>346</v>
      </c>
      <c r="B16" s="4" t="s">
        <v>443</v>
      </c>
      <c r="C16" s="22" t="s">
        <v>444</v>
      </c>
      <c r="D16" s="4" t="s">
        <v>430</v>
      </c>
      <c r="E16" s="4" t="s">
        <v>14</v>
      </c>
      <c r="F16" s="4" t="s">
        <v>51</v>
      </c>
      <c r="G16" s="23">
        <v>36.159999999999997</v>
      </c>
      <c r="H16" s="4">
        <v>2027</v>
      </c>
      <c r="I16" s="4" t="s">
        <v>95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3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15">
      <c r="A17" s="4" t="s">
        <v>346</v>
      </c>
      <c r="B17" s="4" t="s">
        <v>445</v>
      </c>
      <c r="C17" s="22" t="s">
        <v>446</v>
      </c>
      <c r="D17" s="4" t="s">
        <v>430</v>
      </c>
      <c r="E17" s="4" t="s">
        <v>14</v>
      </c>
      <c r="F17" s="4" t="s">
        <v>51</v>
      </c>
      <c r="G17" s="23">
        <v>22.07</v>
      </c>
      <c r="H17" s="4">
        <v>2027</v>
      </c>
      <c r="I17" s="4" t="s">
        <v>95</v>
      </c>
      <c r="J17" s="4"/>
      <c r="K17" s="4"/>
      <c r="L17" s="4"/>
      <c r="M17" s="4"/>
      <c r="N17" s="4"/>
      <c r="O17" s="4"/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15">
      <c r="A18" s="4" t="s">
        <v>346</v>
      </c>
      <c r="B18" s="4" t="s">
        <v>447</v>
      </c>
      <c r="C18" s="22" t="s">
        <v>448</v>
      </c>
      <c r="D18" s="4" t="s">
        <v>430</v>
      </c>
      <c r="E18" s="4" t="s">
        <v>14</v>
      </c>
      <c r="F18" s="4" t="s">
        <v>51</v>
      </c>
      <c r="G18" s="23">
        <v>25.94</v>
      </c>
      <c r="H18" s="4">
        <v>2027</v>
      </c>
      <c r="I18" s="4" t="s">
        <v>95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3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15">
      <c r="A19" s="4" t="s">
        <v>346</v>
      </c>
      <c r="B19" s="4" t="s">
        <v>449</v>
      </c>
      <c r="C19" s="22" t="s">
        <v>450</v>
      </c>
      <c r="D19" s="4" t="s">
        <v>430</v>
      </c>
      <c r="E19" s="4" t="s">
        <v>14</v>
      </c>
      <c r="F19" s="4" t="s">
        <v>51</v>
      </c>
      <c r="G19" s="23">
        <v>29.63</v>
      </c>
      <c r="H19" s="4">
        <v>2027</v>
      </c>
      <c r="I19" s="4" t="s">
        <v>95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23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15">
      <c r="A20" s="4" t="s">
        <v>346</v>
      </c>
      <c r="B20" s="4" t="s">
        <v>451</v>
      </c>
      <c r="C20" s="22" t="s">
        <v>452</v>
      </c>
      <c r="D20" s="4" t="s">
        <v>430</v>
      </c>
      <c r="E20" s="4" t="s">
        <v>14</v>
      </c>
      <c r="F20" s="4" t="s">
        <v>51</v>
      </c>
      <c r="G20" s="23">
        <v>36.159999999999997</v>
      </c>
      <c r="H20" s="4">
        <v>2027</v>
      </c>
      <c r="I20" s="4" t="s">
        <v>95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23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15">
      <c r="A21" s="4" t="s">
        <v>346</v>
      </c>
      <c r="B21" s="4" t="s">
        <v>453</v>
      </c>
      <c r="C21" s="22" t="s">
        <v>454</v>
      </c>
      <c r="D21" s="4" t="s">
        <v>455</v>
      </c>
      <c r="E21" s="4" t="s">
        <v>14</v>
      </c>
      <c r="F21" s="4" t="s">
        <v>51</v>
      </c>
      <c r="G21" s="23">
        <v>26.7</v>
      </c>
      <c r="H21" s="4">
        <v>2025</v>
      </c>
      <c r="I21" s="4" t="s">
        <v>95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3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15">
      <c r="A22" s="4" t="s">
        <v>346</v>
      </c>
      <c r="B22" s="4" t="s">
        <v>456</v>
      </c>
      <c r="C22" s="22" t="s">
        <v>457</v>
      </c>
      <c r="D22" s="4" t="s">
        <v>430</v>
      </c>
      <c r="E22" s="4" t="s">
        <v>14</v>
      </c>
      <c r="F22" s="4" t="s">
        <v>51</v>
      </c>
      <c r="G22" s="23">
        <v>19.3</v>
      </c>
      <c r="H22" s="4">
        <v>2027</v>
      </c>
      <c r="I22" s="4" t="s">
        <v>95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23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15">
      <c r="A23" s="4" t="s">
        <v>346</v>
      </c>
      <c r="B23" s="4" t="s">
        <v>458</v>
      </c>
      <c r="C23" s="22" t="s">
        <v>459</v>
      </c>
      <c r="D23" s="4" t="s">
        <v>430</v>
      </c>
      <c r="E23" s="4" t="s">
        <v>14</v>
      </c>
      <c r="F23" s="4" t="s">
        <v>51</v>
      </c>
      <c r="G23" s="23">
        <v>22.54</v>
      </c>
      <c r="H23" s="4">
        <v>2027</v>
      </c>
      <c r="I23" s="4" t="s">
        <v>95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23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15">
      <c r="A24" s="4" t="s">
        <v>346</v>
      </c>
      <c r="B24" s="4" t="s">
        <v>460</v>
      </c>
      <c r="C24" s="22" t="s">
        <v>461</v>
      </c>
      <c r="D24" s="4" t="s">
        <v>430</v>
      </c>
      <c r="E24" s="4" t="s">
        <v>14</v>
      </c>
      <c r="F24" s="4" t="s">
        <v>51</v>
      </c>
      <c r="G24" s="23">
        <v>15.11</v>
      </c>
      <c r="H24" s="4">
        <v>2027</v>
      </c>
      <c r="I24" s="4" t="s">
        <v>95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23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15">
      <c r="A25" s="4" t="s">
        <v>346</v>
      </c>
      <c r="B25" s="4" t="s">
        <v>462</v>
      </c>
      <c r="C25" s="22" t="s">
        <v>463</v>
      </c>
      <c r="D25" s="4" t="s">
        <v>430</v>
      </c>
      <c r="E25" s="4" t="s">
        <v>14</v>
      </c>
      <c r="F25" s="4" t="s">
        <v>51</v>
      </c>
      <c r="G25" s="23">
        <v>17.03</v>
      </c>
      <c r="H25" s="4">
        <v>2027</v>
      </c>
      <c r="I25" s="4" t="s">
        <v>95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3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15">
      <c r="A26" s="4" t="s">
        <v>464</v>
      </c>
      <c r="B26" s="4" t="s">
        <v>465</v>
      </c>
      <c r="C26" s="22" t="s">
        <v>466</v>
      </c>
      <c r="D26" s="4" t="s">
        <v>455</v>
      </c>
      <c r="E26" s="4" t="s">
        <v>14</v>
      </c>
      <c r="F26" s="4" t="s">
        <v>51</v>
      </c>
      <c r="G26" s="23">
        <f>2.79*6.83</f>
        <v>19.055700000000002</v>
      </c>
      <c r="H26" s="4">
        <v>2024</v>
      </c>
      <c r="I26" s="4" t="s">
        <v>95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23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15">
      <c r="A27" s="4" t="s">
        <v>349</v>
      </c>
      <c r="B27" s="4" t="s">
        <v>467</v>
      </c>
      <c r="C27" s="22" t="s">
        <v>468</v>
      </c>
      <c r="D27" s="4" t="s">
        <v>245</v>
      </c>
      <c r="E27" s="4" t="s">
        <v>14</v>
      </c>
      <c r="F27" s="4" t="s">
        <v>51</v>
      </c>
      <c r="G27" s="23">
        <v>27</v>
      </c>
      <c r="H27" s="4">
        <v>2024</v>
      </c>
      <c r="I27" s="4" t="s">
        <v>469</v>
      </c>
      <c r="J27" s="4"/>
      <c r="K27" s="4"/>
      <c r="L27" s="4"/>
      <c r="N27" s="4"/>
      <c r="O27" s="4"/>
      <c r="P27" s="4"/>
      <c r="Q27" s="4"/>
      <c r="R27" s="4"/>
      <c r="S27" s="4"/>
      <c r="T27" s="4"/>
      <c r="U27" s="23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15">
      <c r="A28" s="4" t="s">
        <v>349</v>
      </c>
      <c r="B28" s="4" t="s">
        <v>467</v>
      </c>
      <c r="C28" s="22" t="s">
        <v>468</v>
      </c>
      <c r="D28" s="4" t="s">
        <v>245</v>
      </c>
      <c r="E28" s="4" t="s">
        <v>14</v>
      </c>
      <c r="F28" s="4" t="s">
        <v>51</v>
      </c>
      <c r="G28" s="23">
        <v>27</v>
      </c>
      <c r="H28" s="4">
        <v>2024</v>
      </c>
      <c r="I28" s="4" t="s">
        <v>470</v>
      </c>
      <c r="J28" s="4"/>
      <c r="K28" s="4"/>
      <c r="L28" s="4"/>
      <c r="N28" s="4"/>
      <c r="O28" s="4"/>
      <c r="P28" s="4"/>
      <c r="Q28" s="4"/>
      <c r="R28" s="4"/>
      <c r="S28" s="4"/>
      <c r="T28" s="4"/>
      <c r="U28" s="23"/>
      <c r="V28" s="4"/>
      <c r="W28" s="4"/>
      <c r="Y28" s="4"/>
      <c r="Z28" s="4"/>
      <c r="AA28" s="4"/>
      <c r="AB28" s="4"/>
      <c r="AC28" s="4"/>
    </row>
    <row r="29" spans="1:29" ht="15.75" customHeight="1" x14ac:dyDescent="0.15">
      <c r="A29" s="4" t="s">
        <v>349</v>
      </c>
      <c r="B29" s="4" t="s">
        <v>467</v>
      </c>
      <c r="C29" s="22" t="s">
        <v>468</v>
      </c>
      <c r="D29" s="4" t="s">
        <v>245</v>
      </c>
      <c r="E29" s="4" t="s">
        <v>14</v>
      </c>
      <c r="F29" s="4" t="s">
        <v>51</v>
      </c>
      <c r="G29" s="23">
        <v>24.3</v>
      </c>
      <c r="H29" s="4">
        <v>2024</v>
      </c>
      <c r="I29" s="4" t="s">
        <v>471</v>
      </c>
      <c r="J29" s="4"/>
      <c r="K29" s="4"/>
      <c r="L29" s="4"/>
      <c r="N29" s="4"/>
      <c r="O29" s="4"/>
      <c r="P29" s="4"/>
      <c r="Q29" s="4"/>
      <c r="R29" s="4"/>
      <c r="S29" s="4"/>
      <c r="T29" s="4"/>
      <c r="U29" s="23"/>
      <c r="V29" s="4"/>
      <c r="W29" s="4"/>
      <c r="Y29" s="4"/>
      <c r="Z29" s="4"/>
      <c r="AA29" s="4"/>
      <c r="AB29" s="4"/>
      <c r="AC29" s="4"/>
    </row>
    <row r="30" spans="1:29" ht="15.75" customHeight="1" x14ac:dyDescent="0.15">
      <c r="A30" s="4" t="s">
        <v>349</v>
      </c>
      <c r="B30" s="4" t="s">
        <v>467</v>
      </c>
      <c r="C30" s="22" t="s">
        <v>468</v>
      </c>
      <c r="D30" s="4" t="s">
        <v>245</v>
      </c>
      <c r="E30" s="4" t="s">
        <v>14</v>
      </c>
      <c r="F30" s="4" t="s">
        <v>51</v>
      </c>
      <c r="G30" s="23">
        <v>16.2</v>
      </c>
      <c r="H30" s="4">
        <v>2024</v>
      </c>
      <c r="I30" s="4" t="s">
        <v>472</v>
      </c>
      <c r="J30" s="4"/>
      <c r="K30" s="4"/>
      <c r="L30" s="4"/>
      <c r="N30" s="4"/>
      <c r="O30" s="4"/>
      <c r="P30" s="7"/>
      <c r="Q30" s="7"/>
      <c r="R30" s="7"/>
      <c r="S30" s="4"/>
      <c r="T30" s="4"/>
      <c r="U30" s="23"/>
      <c r="V30" s="4"/>
      <c r="W30" s="4"/>
      <c r="Y30" s="4"/>
      <c r="Z30" s="4"/>
      <c r="AA30" s="4"/>
      <c r="AB30" s="4"/>
      <c r="AC30" s="4"/>
    </row>
    <row r="31" spans="1:29" ht="15.75" customHeight="1" x14ac:dyDescent="0.15">
      <c r="A31" s="4" t="s">
        <v>349</v>
      </c>
      <c r="B31" s="4" t="s">
        <v>467</v>
      </c>
      <c r="C31" s="22" t="s">
        <v>468</v>
      </c>
      <c r="D31" s="4" t="s">
        <v>245</v>
      </c>
      <c r="E31" s="4" t="s">
        <v>14</v>
      </c>
      <c r="F31" s="4" t="s">
        <v>51</v>
      </c>
      <c r="G31" s="23">
        <v>19.600000000000001</v>
      </c>
      <c r="H31" s="4">
        <v>2024</v>
      </c>
      <c r="I31" s="4" t="s">
        <v>473</v>
      </c>
      <c r="J31" s="4"/>
      <c r="K31" s="4"/>
      <c r="L31" s="4"/>
      <c r="N31" s="7"/>
      <c r="O31" s="7"/>
      <c r="P31" s="7"/>
      <c r="Q31" s="7"/>
      <c r="R31" s="7"/>
      <c r="S31" s="4"/>
      <c r="T31" s="4"/>
      <c r="U31" s="23"/>
      <c r="V31" s="4"/>
      <c r="W31" s="4"/>
      <c r="Y31" s="4"/>
      <c r="Z31" s="4"/>
      <c r="AA31" s="4"/>
      <c r="AB31" s="4"/>
      <c r="AC31" s="4"/>
    </row>
    <row r="32" spans="1:29" ht="15.75" customHeight="1" x14ac:dyDescent="0.15">
      <c r="A32" s="4" t="s">
        <v>349</v>
      </c>
      <c r="B32" s="4" t="s">
        <v>467</v>
      </c>
      <c r="C32" s="22" t="s">
        <v>468</v>
      </c>
      <c r="D32" s="4" t="s">
        <v>245</v>
      </c>
      <c r="E32" s="4" t="s">
        <v>14</v>
      </c>
      <c r="F32" s="4" t="s">
        <v>51</v>
      </c>
      <c r="G32" s="23">
        <v>17.3</v>
      </c>
      <c r="H32" s="4">
        <v>2024</v>
      </c>
      <c r="I32" s="4" t="s">
        <v>474</v>
      </c>
      <c r="J32" s="4"/>
      <c r="K32" s="4"/>
      <c r="L32" s="4"/>
      <c r="M32" s="4"/>
      <c r="N32" s="7"/>
      <c r="O32" s="7"/>
      <c r="P32" s="7"/>
      <c r="Q32" s="7"/>
      <c r="R32" s="7"/>
      <c r="S32" s="4"/>
      <c r="T32" s="4"/>
      <c r="U32" s="23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15">
      <c r="A33" s="4" t="s">
        <v>349</v>
      </c>
      <c r="B33" s="4" t="s">
        <v>467</v>
      </c>
      <c r="C33" s="22" t="s">
        <v>468</v>
      </c>
      <c r="D33" s="4" t="s">
        <v>245</v>
      </c>
      <c r="E33" s="4" t="s">
        <v>14</v>
      </c>
      <c r="F33" s="4" t="s">
        <v>51</v>
      </c>
      <c r="G33" s="23">
        <v>22</v>
      </c>
      <c r="H33" s="4">
        <v>2024</v>
      </c>
      <c r="I33" s="4" t="s">
        <v>475</v>
      </c>
      <c r="J33" s="4"/>
      <c r="K33" s="4"/>
      <c r="L33" s="4"/>
      <c r="M33" s="4"/>
      <c r="N33" s="7"/>
      <c r="O33" s="7"/>
      <c r="P33" s="7"/>
      <c r="Q33" s="7"/>
      <c r="R33" s="7"/>
      <c r="S33" s="4"/>
      <c r="T33" s="4"/>
      <c r="U33" s="23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15">
      <c r="A34" s="4" t="s">
        <v>349</v>
      </c>
      <c r="B34" s="7" t="s">
        <v>476</v>
      </c>
      <c r="C34" s="28" t="s">
        <v>477</v>
      </c>
      <c r="D34" s="7" t="s">
        <v>369</v>
      </c>
      <c r="E34" s="4" t="s">
        <v>14</v>
      </c>
      <c r="F34" s="4" t="s">
        <v>51</v>
      </c>
      <c r="G34" s="23">
        <v>4.99</v>
      </c>
      <c r="H34" s="4">
        <v>2028</v>
      </c>
      <c r="I34" s="4" t="s">
        <v>95</v>
      </c>
      <c r="J34" s="4"/>
      <c r="K34" s="4"/>
      <c r="L34" s="4"/>
      <c r="M34" s="4"/>
      <c r="N34" s="7"/>
      <c r="O34" s="7"/>
      <c r="P34" s="7"/>
      <c r="Q34" s="7"/>
      <c r="R34" s="7"/>
      <c r="S34" s="4"/>
      <c r="T34" s="4"/>
      <c r="U34" s="23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15">
      <c r="A35" s="4" t="s">
        <v>349</v>
      </c>
      <c r="B35" s="7" t="s">
        <v>478</v>
      </c>
      <c r="C35" s="28" t="s">
        <v>479</v>
      </c>
      <c r="D35" s="7" t="s">
        <v>325</v>
      </c>
      <c r="E35" s="4" t="s">
        <v>14</v>
      </c>
      <c r="F35" s="4" t="s">
        <v>51</v>
      </c>
      <c r="G35" s="23">
        <f>2.21*5.04</f>
        <v>11.138400000000001</v>
      </c>
      <c r="H35" s="4">
        <v>2026</v>
      </c>
      <c r="I35" s="4" t="s">
        <v>95</v>
      </c>
      <c r="J35" s="4"/>
      <c r="K35" s="4"/>
      <c r="L35" s="4"/>
      <c r="M35" s="4"/>
      <c r="N35" s="7"/>
      <c r="O35" s="7"/>
      <c r="P35" s="4"/>
      <c r="Q35" s="7"/>
      <c r="R35" s="7"/>
      <c r="S35" s="4"/>
      <c r="T35" s="4"/>
      <c r="U35" s="23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15">
      <c r="A36" s="7" t="s">
        <v>480</v>
      </c>
      <c r="B36" s="7" t="s">
        <v>481</v>
      </c>
      <c r="C36" s="28" t="s">
        <v>482</v>
      </c>
      <c r="D36" s="7" t="s">
        <v>483</v>
      </c>
      <c r="E36" s="4" t="s">
        <v>14</v>
      </c>
      <c r="F36" s="4" t="s">
        <v>51</v>
      </c>
      <c r="G36" s="23">
        <v>19.600000000000001</v>
      </c>
      <c r="H36" s="4">
        <v>2025</v>
      </c>
      <c r="I36" s="4" t="s">
        <v>484</v>
      </c>
      <c r="J36" s="4"/>
      <c r="K36" s="4"/>
      <c r="L36" s="4"/>
      <c r="M36" s="4"/>
      <c r="N36" s="7"/>
      <c r="O36" s="7"/>
      <c r="P36" s="4"/>
      <c r="Q36" s="7"/>
      <c r="R36" s="7"/>
      <c r="S36" s="4"/>
      <c r="T36" s="4"/>
      <c r="U36" s="23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15">
      <c r="A37" s="7" t="s">
        <v>480</v>
      </c>
      <c r="B37" s="7" t="s">
        <v>485</v>
      </c>
      <c r="C37" s="28" t="s">
        <v>482</v>
      </c>
      <c r="D37" s="7" t="s">
        <v>483</v>
      </c>
      <c r="E37" s="4" t="s">
        <v>14</v>
      </c>
      <c r="F37" s="4" t="s">
        <v>51</v>
      </c>
      <c r="G37" s="23">
        <v>15.1</v>
      </c>
      <c r="H37" s="4">
        <v>2025</v>
      </c>
      <c r="I37" s="4" t="s">
        <v>484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15">
      <c r="A38" s="7" t="s">
        <v>480</v>
      </c>
      <c r="B38" s="7" t="s">
        <v>486</v>
      </c>
      <c r="C38" s="28" t="s">
        <v>482</v>
      </c>
      <c r="D38" s="7" t="s">
        <v>483</v>
      </c>
      <c r="E38" s="4" t="s">
        <v>14</v>
      </c>
      <c r="F38" s="4" t="s">
        <v>51</v>
      </c>
      <c r="G38" s="23">
        <v>6.79</v>
      </c>
      <c r="H38" s="4">
        <v>2024</v>
      </c>
      <c r="I38" s="4" t="s">
        <v>95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15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15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15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15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15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15"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15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15"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5.75" customHeight="1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5.75" customHeight="1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5.75" customHeight="1" x14ac:dyDescent="0.15"/>
    <row r="240" spans="1:2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I1"/>
  </mergeCells>
  <hyperlinks>
    <hyperlink ref="C3" r:id="rId1" xr:uid="{00000000-0004-0000-0500-000000000000}"/>
    <hyperlink ref="C4" r:id="rId2" xr:uid="{00000000-0004-0000-0500-000001000000}"/>
    <hyperlink ref="C5" r:id="rId3" xr:uid="{00000000-0004-0000-0500-000002000000}"/>
    <hyperlink ref="C6" r:id="rId4" xr:uid="{00000000-0004-0000-0500-000003000000}"/>
    <hyperlink ref="C7" r:id="rId5" xr:uid="{00000000-0004-0000-0500-000004000000}"/>
    <hyperlink ref="C8" r:id="rId6" xr:uid="{00000000-0004-0000-0500-000005000000}"/>
    <hyperlink ref="C9" r:id="rId7" xr:uid="{00000000-0004-0000-0500-000006000000}"/>
    <hyperlink ref="C10" r:id="rId8" xr:uid="{00000000-0004-0000-0500-000007000000}"/>
    <hyperlink ref="C11" r:id="rId9" xr:uid="{00000000-0004-0000-0500-000008000000}"/>
    <hyperlink ref="C12" r:id="rId10" xr:uid="{00000000-0004-0000-0500-000009000000}"/>
    <hyperlink ref="C13" r:id="rId11" xr:uid="{00000000-0004-0000-0500-00000A000000}"/>
    <hyperlink ref="C14" r:id="rId12" xr:uid="{00000000-0004-0000-0500-00000B000000}"/>
    <hyperlink ref="C15" r:id="rId13" xr:uid="{00000000-0004-0000-0500-00000C000000}"/>
    <hyperlink ref="C16" r:id="rId14" xr:uid="{00000000-0004-0000-0500-00000D000000}"/>
    <hyperlink ref="C17" r:id="rId15" xr:uid="{00000000-0004-0000-0500-00000E000000}"/>
    <hyperlink ref="C18" r:id="rId16" xr:uid="{00000000-0004-0000-0500-00000F000000}"/>
    <hyperlink ref="C19" r:id="rId17" xr:uid="{00000000-0004-0000-0500-000010000000}"/>
    <hyperlink ref="C20" r:id="rId18" xr:uid="{00000000-0004-0000-0500-000011000000}"/>
    <hyperlink ref="C21" r:id="rId19" xr:uid="{00000000-0004-0000-0500-000012000000}"/>
    <hyperlink ref="C22" r:id="rId20" xr:uid="{00000000-0004-0000-0500-000013000000}"/>
    <hyperlink ref="C23" r:id="rId21" xr:uid="{00000000-0004-0000-0500-000014000000}"/>
    <hyperlink ref="C24" r:id="rId22" xr:uid="{00000000-0004-0000-0500-000015000000}"/>
    <hyperlink ref="C25" r:id="rId23" xr:uid="{00000000-0004-0000-0500-000016000000}"/>
    <hyperlink ref="C26" r:id="rId24" xr:uid="{00000000-0004-0000-0500-000017000000}"/>
    <hyperlink ref="C27" r:id="rId25" xr:uid="{00000000-0004-0000-0500-000018000000}"/>
    <hyperlink ref="C28" r:id="rId26" xr:uid="{00000000-0004-0000-0500-000019000000}"/>
    <hyperlink ref="C29" r:id="rId27" xr:uid="{00000000-0004-0000-0500-00001A000000}"/>
    <hyperlink ref="C30" r:id="rId28" xr:uid="{00000000-0004-0000-0500-00001B000000}"/>
    <hyperlink ref="C31" r:id="rId29" xr:uid="{00000000-0004-0000-0500-00001C000000}"/>
    <hyperlink ref="C32" r:id="rId30" xr:uid="{00000000-0004-0000-0500-00001D000000}"/>
    <hyperlink ref="C33" r:id="rId31" xr:uid="{00000000-0004-0000-0500-00001E000000}"/>
    <hyperlink ref="C34" r:id="rId32" xr:uid="{00000000-0004-0000-0500-00001F000000}"/>
    <hyperlink ref="C35" r:id="rId33" xr:uid="{00000000-0004-0000-0500-000020000000}"/>
    <hyperlink ref="C36" r:id="rId34" xr:uid="{00000000-0004-0000-0500-000021000000}"/>
    <hyperlink ref="C37" r:id="rId35" xr:uid="{00000000-0004-0000-0500-000022000000}"/>
    <hyperlink ref="C38" r:id="rId36" xr:uid="{00000000-0004-0000-0500-000023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997"/>
  <sheetViews>
    <sheetView workbookViewId="0">
      <selection activeCell="G2" sqref="G2"/>
    </sheetView>
  </sheetViews>
  <sheetFormatPr baseColWidth="10" defaultColWidth="12.6640625" defaultRowHeight="15" customHeight="1" x14ac:dyDescent="0.15"/>
  <cols>
    <col min="1" max="1" width="18.83203125" customWidth="1"/>
    <col min="2" max="3" width="30.83203125" customWidth="1"/>
    <col min="9" max="9" width="12.6640625" customWidth="1"/>
    <col min="11" max="13" width="15.33203125" customWidth="1"/>
  </cols>
  <sheetData>
    <row r="1" spans="1:29" ht="15.75" customHeight="1" x14ac:dyDescent="0.15">
      <c r="A1" s="90" t="s">
        <v>414</v>
      </c>
      <c r="B1" s="83"/>
      <c r="C1" s="83"/>
      <c r="D1" s="83"/>
      <c r="E1" s="83"/>
      <c r="F1" s="83"/>
      <c r="G1" s="83"/>
      <c r="H1" s="83"/>
      <c r="I1" s="8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15">
      <c r="A2" s="16" t="s">
        <v>5</v>
      </c>
      <c r="B2" s="16" t="s">
        <v>239</v>
      </c>
      <c r="C2" s="16" t="s">
        <v>240</v>
      </c>
      <c r="D2" s="16" t="s">
        <v>1</v>
      </c>
      <c r="E2" s="16" t="s">
        <v>6</v>
      </c>
      <c r="F2" s="16" t="s">
        <v>2</v>
      </c>
      <c r="G2" s="16" t="s">
        <v>3</v>
      </c>
      <c r="H2" s="16" t="s">
        <v>241</v>
      </c>
      <c r="I2" s="16" t="s">
        <v>7</v>
      </c>
      <c r="J2" s="16"/>
      <c r="K2" s="20"/>
      <c r="L2" s="21" t="s">
        <v>230</v>
      </c>
      <c r="M2" s="21" t="s">
        <v>2</v>
      </c>
      <c r="N2" s="16"/>
      <c r="O2" s="16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15">
      <c r="A3" s="4" t="s">
        <v>399</v>
      </c>
      <c r="B3" s="4" t="s">
        <v>487</v>
      </c>
      <c r="C3" s="56" t="s">
        <v>488</v>
      </c>
      <c r="D3" s="4" t="s">
        <v>405</v>
      </c>
      <c r="E3" s="4" t="s">
        <v>14</v>
      </c>
      <c r="F3" s="4" t="s">
        <v>51</v>
      </c>
      <c r="G3" s="23">
        <v>12.6</v>
      </c>
      <c r="H3" s="4">
        <v>2026</v>
      </c>
      <c r="I3" s="4"/>
      <c r="J3" s="4"/>
      <c r="K3" s="24" t="s">
        <v>232</v>
      </c>
      <c r="L3" s="25">
        <f>AVERAGE(G3:G4)</f>
        <v>21.6</v>
      </c>
      <c r="M3" s="26" t="s">
        <v>246</v>
      </c>
      <c r="N3" s="4"/>
      <c r="O3" s="4"/>
      <c r="P3" s="4"/>
      <c r="Q3" s="4"/>
      <c r="R3" s="4"/>
      <c r="S3" s="4"/>
      <c r="T3" s="4"/>
      <c r="U3" s="27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15">
      <c r="A4" s="4" t="s">
        <v>349</v>
      </c>
      <c r="B4" s="4" t="s">
        <v>489</v>
      </c>
      <c r="C4" s="56" t="s">
        <v>490</v>
      </c>
      <c r="D4" s="4" t="s">
        <v>369</v>
      </c>
      <c r="E4" s="4" t="s">
        <v>14</v>
      </c>
      <c r="F4" s="4" t="s">
        <v>51</v>
      </c>
      <c r="G4" s="23">
        <v>30.6</v>
      </c>
      <c r="H4" s="4">
        <v>2028</v>
      </c>
      <c r="I4" s="4"/>
      <c r="J4" s="4"/>
      <c r="K4" s="24" t="s">
        <v>235</v>
      </c>
      <c r="L4" s="25">
        <f>STDEV(G3:G4)</f>
        <v>12.727922061357855</v>
      </c>
      <c r="M4" s="26" t="s">
        <v>246</v>
      </c>
      <c r="N4" s="4"/>
      <c r="O4" s="4"/>
      <c r="P4" s="4"/>
      <c r="Q4" s="4"/>
      <c r="R4" s="4"/>
      <c r="S4" s="4"/>
      <c r="T4" s="4"/>
      <c r="U4" s="27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15">
      <c r="A5" s="4"/>
      <c r="B5" s="4"/>
      <c r="C5" s="22"/>
      <c r="D5" s="4"/>
      <c r="E5" s="4"/>
      <c r="F5" s="4"/>
      <c r="G5" s="2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15">
      <c r="A6" s="4"/>
      <c r="B6" s="4"/>
      <c r="C6" s="22"/>
      <c r="D6" s="4"/>
      <c r="E6" s="4"/>
      <c r="F6" s="4"/>
      <c r="G6" s="2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 x14ac:dyDescent="0.15">
      <c r="A7" s="4"/>
      <c r="B7" s="4"/>
      <c r="C7" s="22"/>
      <c r="D7" s="4"/>
      <c r="E7" s="4"/>
      <c r="F7" s="4"/>
      <c r="G7" s="2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15">
      <c r="A8" s="4"/>
      <c r="B8" s="4"/>
      <c r="C8" s="22"/>
      <c r="D8" s="4"/>
      <c r="E8" s="4"/>
      <c r="F8" s="4"/>
      <c r="G8" s="2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23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15">
      <c r="A9" s="4"/>
      <c r="B9" s="4"/>
      <c r="C9" s="22"/>
      <c r="D9" s="4"/>
      <c r="E9" s="4"/>
      <c r="F9" s="4"/>
      <c r="G9" s="2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27"/>
      <c r="V9" s="4"/>
      <c r="W9" s="4"/>
      <c r="X9" s="4"/>
      <c r="Y9" s="4"/>
      <c r="Z9" s="4"/>
      <c r="AA9" s="4"/>
      <c r="AB9" s="4"/>
      <c r="AC9" s="4"/>
    </row>
    <row r="10" spans="1:29" ht="15.75" customHeight="1" x14ac:dyDescent="0.15">
      <c r="A10" s="4"/>
      <c r="B10" s="4"/>
      <c r="C10" s="22"/>
      <c r="D10" s="4"/>
      <c r="E10" s="4"/>
      <c r="F10" s="4"/>
      <c r="G10" s="2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23"/>
      <c r="V10" s="4"/>
      <c r="W10" s="4"/>
      <c r="X10" s="4"/>
      <c r="Y10" s="4"/>
      <c r="Z10" s="4"/>
      <c r="AA10" s="4"/>
      <c r="AB10" s="4"/>
      <c r="AC10" s="4"/>
    </row>
    <row r="11" spans="1:29" ht="15.75" customHeight="1" x14ac:dyDescent="0.15">
      <c r="A11" s="4"/>
      <c r="B11" s="4"/>
      <c r="C11" s="22"/>
      <c r="D11" s="4"/>
      <c r="E11" s="4"/>
      <c r="F11" s="4"/>
      <c r="G11" s="2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23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15">
      <c r="A12" s="4"/>
      <c r="B12" s="4"/>
      <c r="C12" s="22"/>
      <c r="D12" s="4"/>
      <c r="E12" s="4"/>
      <c r="F12" s="4"/>
      <c r="G12" s="2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23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15">
      <c r="A13" s="4"/>
      <c r="B13" s="4"/>
      <c r="C13" s="22"/>
      <c r="D13" s="4"/>
      <c r="E13" s="4"/>
      <c r="F13" s="4"/>
      <c r="G13" s="2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23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15">
      <c r="A14" s="4"/>
      <c r="B14" s="4"/>
      <c r="C14" s="22"/>
      <c r="D14" s="4"/>
      <c r="E14" s="4"/>
      <c r="F14" s="4"/>
      <c r="G14" s="23"/>
      <c r="H14" s="4"/>
      <c r="I14" s="4"/>
      <c r="J14" s="4"/>
      <c r="K14" s="4"/>
      <c r="L14" s="4"/>
      <c r="M14" s="4"/>
      <c r="N14" s="4"/>
      <c r="O14" s="4"/>
      <c r="P14" s="7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 x14ac:dyDescent="0.15">
      <c r="A15" s="4"/>
      <c r="B15" s="4"/>
      <c r="C15" s="22"/>
      <c r="D15" s="4"/>
      <c r="E15" s="4"/>
      <c r="F15" s="4"/>
      <c r="G15" s="2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23"/>
      <c r="V15" s="4"/>
      <c r="W15" s="4"/>
      <c r="X15" s="4"/>
      <c r="Y15" s="4"/>
      <c r="Z15" s="4"/>
      <c r="AA15" s="4"/>
      <c r="AB15" s="4"/>
      <c r="AC15" s="4"/>
    </row>
    <row r="16" spans="1:29" ht="15.75" customHeight="1" x14ac:dyDescent="0.15">
      <c r="A16" s="4"/>
      <c r="B16" s="4"/>
      <c r="C16" s="22"/>
      <c r="D16" s="4"/>
      <c r="E16" s="4"/>
      <c r="F16" s="4"/>
      <c r="G16" s="2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23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15">
      <c r="A17" s="4"/>
      <c r="B17" s="4"/>
      <c r="C17" s="22"/>
      <c r="D17" s="4"/>
      <c r="E17" s="4"/>
      <c r="F17" s="4"/>
      <c r="G17" s="2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23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15">
      <c r="A18" s="4"/>
      <c r="B18" s="4"/>
      <c r="C18" s="22"/>
      <c r="D18" s="4"/>
      <c r="E18" s="4"/>
      <c r="F18" s="4"/>
      <c r="G18" s="2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23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15">
      <c r="A19" s="4"/>
      <c r="B19" s="4"/>
      <c r="C19" s="22"/>
      <c r="D19" s="4"/>
      <c r="E19" s="4"/>
      <c r="F19" s="4"/>
      <c r="G19" s="2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23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15">
      <c r="A20" s="4"/>
      <c r="B20" s="4"/>
      <c r="C20" s="22"/>
      <c r="D20" s="4"/>
      <c r="E20" s="4"/>
      <c r="F20" s="4"/>
      <c r="G20" s="2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23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15">
      <c r="A21" s="4"/>
      <c r="B21" s="4"/>
      <c r="C21" s="22"/>
      <c r="D21" s="4"/>
      <c r="E21" s="4"/>
      <c r="F21" s="4"/>
      <c r="G21" s="2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3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15">
      <c r="A22" s="4"/>
      <c r="B22" s="4"/>
      <c r="C22" s="22"/>
      <c r="D22" s="4"/>
      <c r="E22" s="4"/>
      <c r="F22" s="4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23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15">
      <c r="A23" s="4"/>
      <c r="B23" s="4"/>
      <c r="C23" s="22"/>
      <c r="D23" s="4"/>
      <c r="E23" s="4"/>
      <c r="F23" s="4"/>
      <c r="G23" s="2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23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15">
      <c r="A24" s="4"/>
      <c r="B24" s="4"/>
      <c r="C24" s="22"/>
      <c r="D24" s="4"/>
      <c r="E24" s="4"/>
      <c r="F24" s="4"/>
      <c r="G24" s="23"/>
      <c r="H24" s="4"/>
      <c r="I24" s="4"/>
      <c r="J24" s="4"/>
      <c r="K24" s="4"/>
      <c r="L24" s="4"/>
      <c r="N24" s="4"/>
      <c r="O24" s="4"/>
      <c r="P24" s="4"/>
      <c r="Q24" s="4"/>
      <c r="R24" s="4"/>
      <c r="S24" s="4"/>
      <c r="T24" s="4"/>
      <c r="U24" s="23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15">
      <c r="A25" s="4"/>
      <c r="B25" s="4"/>
      <c r="C25" s="22"/>
      <c r="D25" s="4"/>
      <c r="E25" s="4"/>
      <c r="F25" s="4"/>
      <c r="G25" s="23"/>
      <c r="H25" s="4"/>
      <c r="I25" s="4"/>
      <c r="J25" s="4"/>
      <c r="K25" s="4"/>
      <c r="L25" s="4"/>
      <c r="N25" s="4"/>
      <c r="O25" s="4"/>
      <c r="P25" s="4"/>
      <c r="Q25" s="4"/>
      <c r="R25" s="4"/>
      <c r="S25" s="4"/>
      <c r="T25" s="4"/>
      <c r="U25" s="23"/>
      <c r="V25" s="4"/>
      <c r="W25" s="4"/>
      <c r="Y25" s="4"/>
      <c r="Z25" s="4"/>
      <c r="AA25" s="4"/>
      <c r="AB25" s="4"/>
      <c r="AC25" s="4"/>
    </row>
    <row r="26" spans="1:29" ht="15.75" customHeight="1" x14ac:dyDescent="0.15">
      <c r="A26" s="4"/>
      <c r="B26" s="4"/>
      <c r="C26" s="22"/>
      <c r="D26" s="4"/>
      <c r="E26" s="4"/>
      <c r="F26" s="4"/>
      <c r="G26" s="23"/>
      <c r="H26" s="4"/>
      <c r="I26" s="4"/>
      <c r="J26" s="4"/>
      <c r="K26" s="4"/>
      <c r="L26" s="4"/>
      <c r="N26" s="4"/>
      <c r="O26" s="4"/>
      <c r="P26" s="4"/>
      <c r="Q26" s="4"/>
      <c r="R26" s="4"/>
      <c r="S26" s="4"/>
      <c r="T26" s="4"/>
      <c r="U26" s="23"/>
      <c r="V26" s="4"/>
      <c r="W26" s="4"/>
      <c r="Y26" s="4"/>
      <c r="Z26" s="4"/>
      <c r="AA26" s="4"/>
      <c r="AB26" s="4"/>
      <c r="AC26" s="4"/>
    </row>
    <row r="27" spans="1:29" ht="15.75" customHeight="1" x14ac:dyDescent="0.15">
      <c r="A27" s="4"/>
      <c r="B27" s="4"/>
      <c r="C27" s="22"/>
      <c r="D27" s="4"/>
      <c r="E27" s="4"/>
      <c r="F27" s="4"/>
      <c r="G27" s="23"/>
      <c r="H27" s="4"/>
      <c r="I27" s="4"/>
      <c r="J27" s="4"/>
      <c r="K27" s="4"/>
      <c r="L27" s="4"/>
      <c r="N27" s="4"/>
      <c r="O27" s="4"/>
      <c r="P27" s="7"/>
      <c r="Q27" s="7"/>
      <c r="R27" s="7"/>
      <c r="S27" s="4"/>
      <c r="T27" s="4"/>
      <c r="U27" s="23"/>
      <c r="V27" s="4"/>
      <c r="W27" s="4"/>
      <c r="Y27" s="4"/>
      <c r="Z27" s="4"/>
      <c r="AA27" s="4"/>
      <c r="AB27" s="4"/>
      <c r="AC27" s="4"/>
    </row>
    <row r="28" spans="1:29" ht="15.75" customHeight="1" x14ac:dyDescent="0.15">
      <c r="A28" s="4"/>
      <c r="B28" s="4"/>
      <c r="C28" s="22"/>
      <c r="D28" s="4"/>
      <c r="E28" s="4"/>
      <c r="F28" s="4"/>
      <c r="G28" s="23"/>
      <c r="H28" s="4"/>
      <c r="I28" s="4"/>
      <c r="J28" s="4"/>
      <c r="K28" s="4"/>
      <c r="L28" s="4"/>
      <c r="N28" s="7"/>
      <c r="O28" s="7"/>
      <c r="P28" s="7"/>
      <c r="Q28" s="7"/>
      <c r="R28" s="7"/>
      <c r="S28" s="4"/>
      <c r="T28" s="4"/>
      <c r="U28" s="23"/>
      <c r="V28" s="4"/>
      <c r="W28" s="4"/>
      <c r="Y28" s="4"/>
      <c r="Z28" s="4"/>
      <c r="AA28" s="4"/>
      <c r="AB28" s="4"/>
      <c r="AC28" s="4"/>
    </row>
    <row r="29" spans="1:29" ht="15.75" customHeight="1" x14ac:dyDescent="0.15">
      <c r="A29" s="4"/>
      <c r="B29" s="4"/>
      <c r="C29" s="22"/>
      <c r="D29" s="4"/>
      <c r="E29" s="4"/>
      <c r="F29" s="4"/>
      <c r="G29" s="23"/>
      <c r="H29" s="4"/>
      <c r="I29" s="4"/>
      <c r="J29" s="4"/>
      <c r="K29" s="4"/>
      <c r="L29" s="4"/>
      <c r="M29" s="4"/>
      <c r="N29" s="7"/>
      <c r="O29" s="7"/>
      <c r="P29" s="7"/>
      <c r="Q29" s="7"/>
      <c r="R29" s="7"/>
      <c r="S29" s="4"/>
      <c r="T29" s="4"/>
      <c r="U29" s="23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15">
      <c r="A30" s="4"/>
      <c r="B30" s="4"/>
      <c r="C30" s="22"/>
      <c r="D30" s="4"/>
      <c r="E30" s="4"/>
      <c r="F30" s="4"/>
      <c r="G30" s="23"/>
      <c r="H30" s="4"/>
      <c r="I30" s="4"/>
      <c r="J30" s="4"/>
      <c r="K30" s="4"/>
      <c r="L30" s="4"/>
      <c r="M30" s="4"/>
      <c r="N30" s="7"/>
      <c r="O30" s="7"/>
      <c r="P30" s="7"/>
      <c r="Q30" s="7"/>
      <c r="R30" s="7"/>
      <c r="S30" s="4"/>
      <c r="T30" s="4"/>
      <c r="U30" s="23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15">
      <c r="A31" s="4"/>
      <c r="B31" s="7"/>
      <c r="C31" s="28"/>
      <c r="D31" s="7"/>
      <c r="E31" s="4"/>
      <c r="F31" s="4"/>
      <c r="G31" s="23"/>
      <c r="H31" s="4"/>
      <c r="I31" s="4"/>
      <c r="J31" s="4"/>
      <c r="K31" s="4"/>
      <c r="L31" s="4"/>
      <c r="M31" s="4"/>
      <c r="N31" s="7"/>
      <c r="O31" s="7"/>
      <c r="P31" s="7"/>
      <c r="Q31" s="7"/>
      <c r="R31" s="7"/>
      <c r="S31" s="4"/>
      <c r="T31" s="4"/>
      <c r="U31" s="23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15">
      <c r="A32" s="4"/>
      <c r="B32" s="7"/>
      <c r="C32" s="28"/>
      <c r="D32" s="7"/>
      <c r="E32" s="4"/>
      <c r="F32" s="4"/>
      <c r="G32" s="23"/>
      <c r="H32" s="4"/>
      <c r="I32" s="4"/>
      <c r="J32" s="4"/>
      <c r="K32" s="4"/>
      <c r="L32" s="4"/>
      <c r="M32" s="4"/>
      <c r="N32" s="7"/>
      <c r="O32" s="7"/>
      <c r="P32" s="4"/>
      <c r="Q32" s="7"/>
      <c r="R32" s="7"/>
      <c r="S32" s="4"/>
      <c r="T32" s="4"/>
      <c r="U32" s="23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15">
      <c r="A33" s="7"/>
      <c r="B33" s="7"/>
      <c r="C33" s="28"/>
      <c r="D33" s="7"/>
      <c r="E33" s="4"/>
      <c r="F33" s="4"/>
      <c r="G33" s="23"/>
      <c r="H33" s="4"/>
      <c r="I33" s="4"/>
      <c r="J33" s="4"/>
      <c r="K33" s="4"/>
      <c r="L33" s="4"/>
      <c r="M33" s="4"/>
      <c r="N33" s="7"/>
      <c r="O33" s="7"/>
      <c r="P33" s="4"/>
      <c r="Q33" s="7"/>
      <c r="R33" s="7"/>
      <c r="S33" s="4"/>
      <c r="T33" s="4"/>
      <c r="U33" s="23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15">
      <c r="A34" s="7"/>
      <c r="B34" s="7"/>
      <c r="C34" s="28"/>
      <c r="D34" s="7"/>
      <c r="E34" s="4"/>
      <c r="F34" s="4"/>
      <c r="G34" s="2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15">
      <c r="A35" s="7"/>
      <c r="B35" s="7"/>
      <c r="C35" s="28"/>
      <c r="D35" s="7"/>
      <c r="E35" s="4"/>
      <c r="F35" s="4"/>
      <c r="G35" s="2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15"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15"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15"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15"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15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15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15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15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5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5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5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5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5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5.7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5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5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5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5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5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5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5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5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5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5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5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5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5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5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5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5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5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5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5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5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5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5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5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5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5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5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5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5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5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5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5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5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5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5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5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5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5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5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5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5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5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5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5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5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5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5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5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5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5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5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5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5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5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5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5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5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5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5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5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5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5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5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5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5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5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5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5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5.75" customHeight="1" x14ac:dyDescent="0.15"/>
    <row r="237" spans="1:29" ht="15.75" customHeight="1" x14ac:dyDescent="0.15"/>
    <row r="238" spans="1:29" ht="15.75" customHeight="1" x14ac:dyDescent="0.15"/>
    <row r="239" spans="1:29" ht="15.75" customHeight="1" x14ac:dyDescent="0.15"/>
    <row r="240" spans="1:29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mergeCells count="1">
    <mergeCell ref="A1:I1"/>
  </mergeCells>
  <hyperlinks>
    <hyperlink ref="C3" r:id="rId1" xr:uid="{00000000-0004-0000-0600-000000000000}"/>
    <hyperlink ref="C4" r:id="rId2" xr:uid="{00000000-0004-0000-0600-000001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1000"/>
  <sheetViews>
    <sheetView workbookViewId="0">
      <selection activeCell="H19" sqref="H19"/>
    </sheetView>
  </sheetViews>
  <sheetFormatPr baseColWidth="10" defaultColWidth="12.6640625" defaultRowHeight="15" customHeight="1" x14ac:dyDescent="0.15"/>
  <cols>
    <col min="1" max="1" width="18.83203125" customWidth="1"/>
    <col min="2" max="4" width="30.83203125" customWidth="1"/>
    <col min="10" max="10" width="12.6640625" customWidth="1"/>
    <col min="12" max="14" width="15.33203125" customWidth="1"/>
  </cols>
  <sheetData>
    <row r="1" spans="1:31" ht="15.75" customHeight="1" x14ac:dyDescent="0.15">
      <c r="A1" s="90" t="s">
        <v>491</v>
      </c>
      <c r="B1" s="83"/>
      <c r="C1" s="83"/>
      <c r="D1" s="83"/>
      <c r="E1" s="83"/>
      <c r="F1" s="83"/>
      <c r="G1" s="83"/>
      <c r="H1" s="83"/>
      <c r="I1" s="83"/>
      <c r="J1" s="83"/>
      <c r="K1" s="4"/>
      <c r="L1" s="4"/>
      <c r="M1" s="4"/>
      <c r="N1" s="4"/>
      <c r="O1" s="4"/>
      <c r="P1" s="4"/>
      <c r="Q1" s="35"/>
      <c r="R1" s="35"/>
      <c r="S1" s="35"/>
      <c r="T1" s="35"/>
      <c r="U1" s="35"/>
      <c r="V1" s="35"/>
      <c r="W1" s="35"/>
      <c r="X1" s="35"/>
      <c r="Y1" s="35"/>
      <c r="Z1" s="35"/>
      <c r="AA1" s="4"/>
      <c r="AB1" s="4"/>
      <c r="AC1" s="4"/>
      <c r="AD1" s="4"/>
      <c r="AE1" s="4"/>
    </row>
    <row r="2" spans="1:31" ht="15.75" customHeight="1" x14ac:dyDescent="0.15">
      <c r="A2" s="16" t="s">
        <v>5</v>
      </c>
      <c r="B2" s="16" t="s">
        <v>239</v>
      </c>
      <c r="C2" s="16" t="s">
        <v>492</v>
      </c>
      <c r="D2" s="16" t="s">
        <v>240</v>
      </c>
      <c r="E2" s="16" t="s">
        <v>1</v>
      </c>
      <c r="F2" s="16" t="s">
        <v>6</v>
      </c>
      <c r="G2" s="16" t="s">
        <v>2</v>
      </c>
      <c r="H2" s="16" t="s">
        <v>3</v>
      </c>
      <c r="I2" s="16" t="s">
        <v>241</v>
      </c>
      <c r="J2" s="16" t="s">
        <v>7</v>
      </c>
      <c r="K2" s="4"/>
      <c r="L2" s="20"/>
      <c r="M2" s="21" t="s">
        <v>230</v>
      </c>
      <c r="N2" s="21" t="s">
        <v>2</v>
      </c>
      <c r="O2" s="4"/>
      <c r="P2" s="4"/>
      <c r="Q2" s="16"/>
      <c r="R2" s="16"/>
      <c r="S2" s="16"/>
      <c r="T2" s="16"/>
      <c r="U2" s="16"/>
      <c r="V2" s="16"/>
      <c r="W2" s="16"/>
      <c r="X2" s="36"/>
      <c r="Y2" s="16"/>
      <c r="Z2" s="16"/>
      <c r="AA2" s="4"/>
      <c r="AB2" s="4"/>
      <c r="AC2" s="16"/>
      <c r="AD2" s="16"/>
      <c r="AE2" s="4"/>
    </row>
    <row r="3" spans="1:31" ht="15.75" customHeight="1" x14ac:dyDescent="0.15">
      <c r="A3" s="4" t="s">
        <v>242</v>
      </c>
      <c r="B3" s="4" t="s">
        <v>493</v>
      </c>
      <c r="C3" s="4" t="s">
        <v>494</v>
      </c>
      <c r="D3" s="22" t="s">
        <v>495</v>
      </c>
      <c r="E3" s="4" t="s">
        <v>245</v>
      </c>
      <c r="F3" s="4" t="s">
        <v>14</v>
      </c>
      <c r="G3" s="4" t="s">
        <v>17</v>
      </c>
      <c r="H3" s="23">
        <v>2.59</v>
      </c>
      <c r="I3" s="4">
        <v>2027</v>
      </c>
      <c r="J3" s="4" t="s">
        <v>496</v>
      </c>
      <c r="K3" s="4"/>
      <c r="L3" s="24" t="s">
        <v>232</v>
      </c>
      <c r="M3" s="25">
        <f>AVERAGE(H3:H149)</f>
        <v>2.7279607001029276</v>
      </c>
      <c r="N3" s="26" t="s">
        <v>233</v>
      </c>
      <c r="O3" s="4"/>
      <c r="P3" s="4"/>
      <c r="Q3" s="4"/>
      <c r="R3" s="4"/>
      <c r="S3" s="4"/>
      <c r="T3" s="4"/>
      <c r="U3" s="4"/>
      <c r="V3" s="4"/>
      <c r="W3" s="4"/>
      <c r="X3" s="23"/>
      <c r="Y3" s="4"/>
      <c r="Z3" s="4"/>
      <c r="AA3" s="16"/>
      <c r="AB3" s="16"/>
      <c r="AC3" s="27"/>
      <c r="AD3" s="4"/>
      <c r="AE3" s="4"/>
    </row>
    <row r="4" spans="1:31" ht="15.75" customHeight="1" x14ac:dyDescent="0.15">
      <c r="A4" s="4" t="s">
        <v>242</v>
      </c>
      <c r="B4" s="4" t="s">
        <v>497</v>
      </c>
      <c r="C4" s="4" t="s">
        <v>494</v>
      </c>
      <c r="D4" s="22" t="s">
        <v>498</v>
      </c>
      <c r="E4" s="4" t="s">
        <v>245</v>
      </c>
      <c r="F4" s="4" t="s">
        <v>14</v>
      </c>
      <c r="G4" s="4" t="s">
        <v>17</v>
      </c>
      <c r="H4" s="23">
        <v>7.44</v>
      </c>
      <c r="I4" s="4">
        <v>2027</v>
      </c>
      <c r="J4" s="4" t="s">
        <v>499</v>
      </c>
      <c r="K4" s="4"/>
      <c r="L4" s="24" t="s">
        <v>235</v>
      </c>
      <c r="M4" s="25">
        <f>STDEV(H3:H149)</f>
        <v>2.2174432112584559</v>
      </c>
      <c r="N4" s="26" t="s">
        <v>233</v>
      </c>
      <c r="O4" s="4"/>
      <c r="P4" s="4"/>
      <c r="Q4" s="4"/>
      <c r="R4" s="4"/>
      <c r="S4" s="4"/>
      <c r="T4" s="4"/>
      <c r="U4" s="4"/>
      <c r="V4" s="4"/>
      <c r="W4" s="4"/>
      <c r="X4" s="23"/>
      <c r="Y4" s="4"/>
      <c r="Z4" s="4"/>
      <c r="AA4" s="16"/>
      <c r="AB4" s="16"/>
      <c r="AC4" s="27"/>
      <c r="AD4" s="4"/>
      <c r="AE4" s="4"/>
    </row>
    <row r="5" spans="1:31" ht="15.75" customHeight="1" x14ac:dyDescent="0.15">
      <c r="A5" s="4" t="s">
        <v>500</v>
      </c>
      <c r="B5" s="4" t="s">
        <v>501</v>
      </c>
      <c r="C5" s="4" t="s">
        <v>502</v>
      </c>
      <c r="D5" s="22" t="s">
        <v>503</v>
      </c>
      <c r="E5" s="4" t="s">
        <v>504</v>
      </c>
      <c r="F5" s="4" t="s">
        <v>14</v>
      </c>
      <c r="G5" s="4" t="s">
        <v>17</v>
      </c>
      <c r="H5" s="23">
        <v>3.93</v>
      </c>
      <c r="I5" s="4" t="s">
        <v>18</v>
      </c>
      <c r="J5" s="4" t="s">
        <v>505</v>
      </c>
      <c r="K5" s="4"/>
      <c r="L5" s="16"/>
      <c r="M5" s="27"/>
      <c r="N5" s="4"/>
      <c r="O5" s="4"/>
      <c r="P5" s="4"/>
      <c r="Q5" s="4"/>
      <c r="R5" s="4"/>
      <c r="S5" s="4"/>
      <c r="T5" s="4"/>
      <c r="U5" s="4"/>
      <c r="V5" s="4"/>
      <c r="W5" s="4"/>
      <c r="X5" s="23"/>
      <c r="Y5" s="4"/>
      <c r="Z5" s="4"/>
      <c r="AA5" s="4"/>
      <c r="AB5" s="4"/>
      <c r="AC5" s="4"/>
      <c r="AD5" s="4"/>
      <c r="AE5" s="4"/>
    </row>
    <row r="6" spans="1:31" ht="15.75" customHeight="1" x14ac:dyDescent="0.15">
      <c r="A6" s="4" t="s">
        <v>506</v>
      </c>
      <c r="B6" s="4" t="s">
        <v>507</v>
      </c>
      <c r="C6" s="4" t="s">
        <v>508</v>
      </c>
      <c r="D6" s="22" t="s">
        <v>509</v>
      </c>
      <c r="E6" s="4" t="s">
        <v>405</v>
      </c>
      <c r="F6" s="4" t="s">
        <v>14</v>
      </c>
      <c r="G6" s="4" t="s">
        <v>17</v>
      </c>
      <c r="H6" s="23">
        <f>0.99/0.411</f>
        <v>2.4087591240875912</v>
      </c>
      <c r="I6" s="4">
        <v>2028</v>
      </c>
      <c r="J6" s="4" t="s">
        <v>510</v>
      </c>
      <c r="K6" s="4"/>
      <c r="L6" s="32" t="s">
        <v>511</v>
      </c>
      <c r="M6" s="105" t="s">
        <v>512</v>
      </c>
      <c r="N6" s="97"/>
      <c r="O6" s="4"/>
      <c r="P6" s="16"/>
      <c r="Q6" s="82"/>
      <c r="R6" s="83"/>
      <c r="S6" s="4"/>
      <c r="T6" s="4"/>
      <c r="U6" s="4"/>
      <c r="V6" s="4"/>
      <c r="W6" s="4"/>
      <c r="X6" s="23"/>
      <c r="Y6" s="4"/>
      <c r="Z6" s="4"/>
      <c r="AA6" s="4"/>
      <c r="AB6" s="4"/>
      <c r="AC6" s="4"/>
      <c r="AD6" s="4"/>
      <c r="AE6" s="4"/>
    </row>
    <row r="7" spans="1:31" ht="15.75" customHeight="1" x14ac:dyDescent="0.15">
      <c r="A7" s="4" t="s">
        <v>506</v>
      </c>
      <c r="B7" s="4" t="s">
        <v>507</v>
      </c>
      <c r="C7" s="4" t="s">
        <v>508</v>
      </c>
      <c r="D7" s="22" t="s">
        <v>513</v>
      </c>
      <c r="E7" s="4" t="s">
        <v>405</v>
      </c>
      <c r="F7" s="4" t="s">
        <v>14</v>
      </c>
      <c r="G7" s="4" t="s">
        <v>17</v>
      </c>
      <c r="H7" s="23">
        <f>4.35/1.568</f>
        <v>2.7742346938775508</v>
      </c>
      <c r="I7" s="4">
        <v>2028</v>
      </c>
      <c r="J7" s="4" t="s">
        <v>510</v>
      </c>
      <c r="K7" s="4"/>
      <c r="L7" s="37" t="s">
        <v>514</v>
      </c>
      <c r="M7" s="93" t="s">
        <v>515</v>
      </c>
      <c r="N7" s="97"/>
      <c r="O7" s="4"/>
      <c r="P7" s="92"/>
      <c r="Q7" s="91"/>
      <c r="R7" s="83"/>
      <c r="S7" s="4"/>
      <c r="T7" s="4"/>
      <c r="U7" s="4"/>
      <c r="V7" s="4"/>
      <c r="W7" s="4"/>
      <c r="X7" s="23"/>
      <c r="Y7" s="4"/>
      <c r="Z7" s="4"/>
      <c r="AA7" s="4"/>
      <c r="AB7" s="4"/>
      <c r="AC7" s="4"/>
      <c r="AD7" s="4"/>
      <c r="AE7" s="4"/>
    </row>
    <row r="8" spans="1:31" ht="15.75" customHeight="1" x14ac:dyDescent="0.15">
      <c r="A8" s="4" t="s">
        <v>506</v>
      </c>
      <c r="B8" s="4" t="s">
        <v>516</v>
      </c>
      <c r="C8" s="4" t="s">
        <v>517</v>
      </c>
      <c r="D8" s="22" t="s">
        <v>518</v>
      </c>
      <c r="E8" s="4" t="s">
        <v>405</v>
      </c>
      <c r="F8" s="4" t="s">
        <v>14</v>
      </c>
      <c r="G8" s="4" t="s">
        <v>17</v>
      </c>
      <c r="H8" s="23">
        <f>1.21/0.294</f>
        <v>4.1156462585034017</v>
      </c>
      <c r="I8" s="4">
        <v>2028</v>
      </c>
      <c r="J8" s="4" t="s">
        <v>510</v>
      </c>
      <c r="K8" s="4"/>
      <c r="L8" s="37" t="s">
        <v>519</v>
      </c>
      <c r="M8" s="93" t="s">
        <v>520</v>
      </c>
      <c r="N8" s="97"/>
      <c r="O8" s="4"/>
      <c r="P8" s="83"/>
      <c r="Q8" s="83"/>
      <c r="R8" s="83"/>
      <c r="S8" s="4"/>
      <c r="T8" s="4"/>
      <c r="U8" s="4"/>
      <c r="V8" s="4"/>
      <c r="W8" s="4"/>
      <c r="X8" s="23"/>
      <c r="Y8" s="4"/>
      <c r="Z8" s="4"/>
      <c r="AA8" s="4"/>
      <c r="AB8" s="4"/>
      <c r="AC8" s="4"/>
      <c r="AD8" s="4"/>
      <c r="AE8" s="4"/>
    </row>
    <row r="9" spans="1:31" ht="15.75" customHeight="1" x14ac:dyDescent="0.15">
      <c r="A9" s="4" t="s">
        <v>521</v>
      </c>
      <c r="B9" s="4" t="s">
        <v>522</v>
      </c>
      <c r="C9" s="4" t="s">
        <v>523</v>
      </c>
      <c r="D9" s="22" t="s">
        <v>524</v>
      </c>
      <c r="E9" s="4" t="s">
        <v>405</v>
      </c>
      <c r="F9" s="4" t="s">
        <v>14</v>
      </c>
      <c r="G9" s="4" t="s">
        <v>17</v>
      </c>
      <c r="H9" s="23">
        <v>8.16</v>
      </c>
      <c r="I9" s="4">
        <v>2027</v>
      </c>
      <c r="J9" s="4" t="s">
        <v>525</v>
      </c>
      <c r="K9" s="4"/>
      <c r="L9" s="37" t="s">
        <v>526</v>
      </c>
      <c r="M9" s="96" t="s">
        <v>527</v>
      </c>
      <c r="N9" s="97"/>
      <c r="O9" s="4"/>
      <c r="P9" s="38"/>
      <c r="Q9" s="92"/>
      <c r="R9" s="83"/>
      <c r="S9" s="4"/>
      <c r="T9" s="4"/>
      <c r="U9" s="4"/>
      <c r="V9" s="4"/>
      <c r="W9" s="4"/>
      <c r="X9" s="23"/>
      <c r="Y9" s="4"/>
      <c r="Z9" s="4"/>
      <c r="AA9" s="4"/>
      <c r="AB9" s="4"/>
      <c r="AC9" s="4"/>
      <c r="AD9" s="4"/>
      <c r="AE9" s="4"/>
    </row>
    <row r="10" spans="1:31" ht="15.75" customHeight="1" x14ac:dyDescent="0.15">
      <c r="A10" s="4" t="s">
        <v>521</v>
      </c>
      <c r="B10" s="4" t="s">
        <v>528</v>
      </c>
      <c r="C10" s="4" t="s">
        <v>523</v>
      </c>
      <c r="D10" s="22" t="s">
        <v>529</v>
      </c>
      <c r="E10" s="4" t="s">
        <v>405</v>
      </c>
      <c r="F10" s="4" t="s">
        <v>14</v>
      </c>
      <c r="G10" s="4" t="s">
        <v>17</v>
      </c>
      <c r="H10" s="23">
        <v>8.16</v>
      </c>
      <c r="I10" s="4">
        <v>2027</v>
      </c>
      <c r="J10" s="4" t="s">
        <v>525</v>
      </c>
      <c r="K10" s="4"/>
      <c r="L10" s="37" t="s">
        <v>530</v>
      </c>
      <c r="M10" s="93" t="s">
        <v>531</v>
      </c>
      <c r="N10" s="97"/>
      <c r="O10" s="4"/>
      <c r="P10" s="92"/>
      <c r="Q10" s="91"/>
      <c r="R10" s="83"/>
      <c r="S10" s="4"/>
      <c r="T10" s="4"/>
      <c r="U10" s="4"/>
      <c r="V10" s="4"/>
      <c r="W10" s="4"/>
      <c r="X10" s="23"/>
      <c r="Y10" s="4"/>
      <c r="Z10" s="4"/>
      <c r="AA10" s="4"/>
      <c r="AB10" s="4"/>
      <c r="AC10" s="4"/>
      <c r="AD10" s="4"/>
      <c r="AE10" s="4"/>
    </row>
    <row r="11" spans="1:31" ht="15.75" customHeight="1" x14ac:dyDescent="0.15">
      <c r="A11" s="4" t="s">
        <v>521</v>
      </c>
      <c r="B11" s="4" t="s">
        <v>532</v>
      </c>
      <c r="C11" s="4" t="s">
        <v>494</v>
      </c>
      <c r="D11" s="22" t="s">
        <v>533</v>
      </c>
      <c r="E11" s="4" t="s">
        <v>369</v>
      </c>
      <c r="F11" s="4" t="s">
        <v>14</v>
      </c>
      <c r="G11" s="4" t="s">
        <v>17</v>
      </c>
      <c r="H11" s="23">
        <v>3.08</v>
      </c>
      <c r="I11" s="4">
        <v>2027</v>
      </c>
      <c r="J11" s="4" t="s">
        <v>534</v>
      </c>
      <c r="K11" s="4"/>
      <c r="L11" s="93" t="s">
        <v>535</v>
      </c>
      <c r="M11" s="98" t="s">
        <v>536</v>
      </c>
      <c r="N11" s="99"/>
      <c r="O11" s="4"/>
      <c r="P11" s="83"/>
      <c r="Q11" s="83"/>
      <c r="R11" s="83"/>
      <c r="S11" s="4"/>
      <c r="T11" s="4"/>
      <c r="U11" s="4"/>
      <c r="V11" s="4"/>
      <c r="W11" s="4"/>
      <c r="X11" s="23"/>
      <c r="Y11" s="4"/>
      <c r="Z11" s="4"/>
      <c r="AA11" s="4"/>
      <c r="AB11" s="4"/>
      <c r="AC11" s="4"/>
      <c r="AD11" s="4"/>
      <c r="AE11" s="4"/>
    </row>
    <row r="12" spans="1:31" ht="15.75" customHeight="1" x14ac:dyDescent="0.15">
      <c r="A12" s="4" t="s">
        <v>521</v>
      </c>
      <c r="B12" s="4" t="s">
        <v>537</v>
      </c>
      <c r="C12" s="4" t="s">
        <v>494</v>
      </c>
      <c r="D12" s="22" t="s">
        <v>538</v>
      </c>
      <c r="E12" s="4" t="s">
        <v>369</v>
      </c>
      <c r="F12" s="4" t="s">
        <v>14</v>
      </c>
      <c r="G12" s="4" t="s">
        <v>17</v>
      </c>
      <c r="H12" s="23">
        <v>3.23</v>
      </c>
      <c r="I12" s="4">
        <v>2028</v>
      </c>
      <c r="J12" s="4" t="s">
        <v>539</v>
      </c>
      <c r="K12" s="4"/>
      <c r="L12" s="94"/>
      <c r="M12" s="100"/>
      <c r="N12" s="101"/>
      <c r="O12" s="4"/>
      <c r="P12" s="38"/>
      <c r="Q12" s="92"/>
      <c r="R12" s="83"/>
      <c r="S12" s="4"/>
      <c r="T12" s="4"/>
      <c r="U12" s="4"/>
      <c r="V12" s="4"/>
      <c r="W12" s="4"/>
      <c r="X12" s="23"/>
      <c r="Y12" s="4"/>
      <c r="Z12" s="4"/>
      <c r="AA12" s="4"/>
      <c r="AB12" s="4"/>
      <c r="AC12" s="4"/>
      <c r="AD12" s="4"/>
      <c r="AE12" s="4"/>
    </row>
    <row r="13" spans="1:31" ht="15.75" customHeight="1" x14ac:dyDescent="0.15">
      <c r="A13" s="4" t="s">
        <v>323</v>
      </c>
      <c r="B13" s="4" t="s">
        <v>540</v>
      </c>
      <c r="C13" s="4" t="s">
        <v>541</v>
      </c>
      <c r="D13" s="22" t="s">
        <v>542</v>
      </c>
      <c r="E13" s="4" t="s">
        <v>325</v>
      </c>
      <c r="F13" s="4" t="s">
        <v>14</v>
      </c>
      <c r="G13" s="4" t="s">
        <v>17</v>
      </c>
      <c r="H13" s="23">
        <f>456/218</f>
        <v>2.0917431192660549</v>
      </c>
      <c r="I13" s="4">
        <v>2028</v>
      </c>
      <c r="J13" s="4" t="s">
        <v>543</v>
      </c>
      <c r="K13" s="4"/>
      <c r="L13" s="95"/>
      <c r="M13" s="102"/>
      <c r="N13" s="103"/>
      <c r="O13" s="4"/>
      <c r="P13" s="92"/>
      <c r="Q13" s="91"/>
      <c r="R13" s="83"/>
      <c r="S13" s="4"/>
      <c r="T13" s="4"/>
      <c r="U13" s="4"/>
      <c r="V13" s="4"/>
      <c r="W13" s="4"/>
      <c r="X13" s="23"/>
      <c r="Y13" s="4"/>
      <c r="Z13" s="4"/>
      <c r="AA13" s="4"/>
      <c r="AB13" s="4"/>
      <c r="AC13" s="4"/>
      <c r="AD13" s="4"/>
      <c r="AE13" s="4"/>
    </row>
    <row r="14" spans="1:31" ht="15.75" customHeight="1" x14ac:dyDescent="0.15">
      <c r="A14" s="4" t="s">
        <v>323</v>
      </c>
      <c r="B14" s="4" t="s">
        <v>544</v>
      </c>
      <c r="C14" s="4" t="s">
        <v>541</v>
      </c>
      <c r="D14" s="22" t="s">
        <v>545</v>
      </c>
      <c r="E14" s="4" t="s">
        <v>325</v>
      </c>
      <c r="F14" s="4" t="s">
        <v>14</v>
      </c>
      <c r="G14" s="4" t="s">
        <v>17</v>
      </c>
      <c r="H14" s="23">
        <f>479/218</f>
        <v>2.1972477064220182</v>
      </c>
      <c r="I14" s="4">
        <v>2024</v>
      </c>
      <c r="J14" s="4" t="s">
        <v>543</v>
      </c>
      <c r="K14" s="4"/>
      <c r="L14" s="37" t="s">
        <v>546</v>
      </c>
      <c r="M14" s="98" t="s">
        <v>547</v>
      </c>
      <c r="N14" s="97"/>
      <c r="O14" s="4"/>
      <c r="P14" s="83"/>
      <c r="Q14" s="83"/>
      <c r="R14" s="83"/>
      <c r="S14" s="4"/>
      <c r="T14" s="4"/>
      <c r="U14" s="4"/>
      <c r="V14" s="4"/>
      <c r="W14" s="4"/>
      <c r="X14" s="23"/>
      <c r="Y14" s="4"/>
      <c r="Z14" s="4"/>
      <c r="AA14" s="4"/>
      <c r="AB14" s="4"/>
      <c r="AC14" s="4"/>
      <c r="AD14" s="4"/>
      <c r="AE14" s="4"/>
    </row>
    <row r="15" spans="1:31" ht="15.75" customHeight="1" x14ac:dyDescent="0.15">
      <c r="A15" s="4" t="s">
        <v>548</v>
      </c>
      <c r="B15" s="4" t="s">
        <v>549</v>
      </c>
      <c r="C15" s="4" t="s">
        <v>550</v>
      </c>
      <c r="D15" s="22" t="s">
        <v>551</v>
      </c>
      <c r="E15" s="4" t="s">
        <v>11</v>
      </c>
      <c r="F15" s="4" t="s">
        <v>14</v>
      </c>
      <c r="G15" s="4" t="s">
        <v>17</v>
      </c>
      <c r="H15" s="23">
        <v>1.55</v>
      </c>
      <c r="I15" s="4">
        <v>2026</v>
      </c>
      <c r="J15" s="4" t="s">
        <v>552</v>
      </c>
      <c r="K15" s="4"/>
      <c r="L15" s="37" t="s">
        <v>553</v>
      </c>
      <c r="M15" s="93" t="s">
        <v>554</v>
      </c>
      <c r="N15" s="97"/>
      <c r="O15" s="4"/>
      <c r="P15" s="83"/>
      <c r="Q15" s="83"/>
      <c r="R15" s="83"/>
      <c r="S15" s="4"/>
      <c r="T15" s="4"/>
      <c r="U15" s="4"/>
      <c r="V15" s="4"/>
      <c r="W15" s="4"/>
      <c r="X15" s="23"/>
      <c r="Y15" s="4"/>
      <c r="Z15" s="4"/>
      <c r="AA15" s="4"/>
      <c r="AB15" s="4"/>
      <c r="AC15" s="4"/>
      <c r="AD15" s="4"/>
      <c r="AE15" s="4"/>
    </row>
    <row r="16" spans="1:31" ht="15.75" customHeight="1" x14ac:dyDescent="0.15">
      <c r="A16" s="4" t="s">
        <v>548</v>
      </c>
      <c r="B16" s="4" t="s">
        <v>555</v>
      </c>
      <c r="C16" s="4" t="s">
        <v>550</v>
      </c>
      <c r="D16" s="22" t="s">
        <v>556</v>
      </c>
      <c r="E16" s="4" t="s">
        <v>11</v>
      </c>
      <c r="F16" s="4" t="s">
        <v>14</v>
      </c>
      <c r="G16" s="4" t="s">
        <v>17</v>
      </c>
      <c r="H16" s="23">
        <v>1.46</v>
      </c>
      <c r="I16" s="4">
        <v>2026</v>
      </c>
      <c r="J16" s="4" t="s">
        <v>552</v>
      </c>
      <c r="K16" s="4"/>
      <c r="L16" s="37" t="s">
        <v>539</v>
      </c>
      <c r="M16" s="93" t="s">
        <v>557</v>
      </c>
      <c r="N16" s="97"/>
      <c r="O16" s="4"/>
      <c r="P16" s="92"/>
      <c r="Q16" s="91"/>
      <c r="R16" s="83"/>
      <c r="S16" s="4"/>
      <c r="T16" s="4"/>
      <c r="U16" s="4"/>
      <c r="V16" s="4"/>
      <c r="W16" s="4"/>
      <c r="X16" s="23"/>
      <c r="Y16" s="4"/>
      <c r="Z16" s="4"/>
      <c r="AA16" s="4"/>
      <c r="AB16" s="4"/>
      <c r="AC16" s="4"/>
      <c r="AD16" s="4"/>
      <c r="AE16" s="4"/>
    </row>
    <row r="17" spans="1:31" ht="15.75" customHeight="1" x14ac:dyDescent="0.15">
      <c r="A17" s="4" t="s">
        <v>548</v>
      </c>
      <c r="B17" s="4" t="s">
        <v>558</v>
      </c>
      <c r="C17" s="4" t="s">
        <v>550</v>
      </c>
      <c r="D17" s="22" t="s">
        <v>559</v>
      </c>
      <c r="E17" s="4" t="s">
        <v>11</v>
      </c>
      <c r="F17" s="4" t="s">
        <v>14</v>
      </c>
      <c r="G17" s="4" t="s">
        <v>17</v>
      </c>
      <c r="H17" s="23">
        <v>1.55</v>
      </c>
      <c r="I17" s="4">
        <v>2026</v>
      </c>
      <c r="J17" s="4" t="s">
        <v>552</v>
      </c>
      <c r="K17" s="4"/>
      <c r="L17" s="37" t="s">
        <v>560</v>
      </c>
      <c r="M17" s="93" t="s">
        <v>561</v>
      </c>
      <c r="N17" s="97"/>
      <c r="O17" s="4"/>
      <c r="P17" s="83"/>
      <c r="Q17" s="83"/>
      <c r="R17" s="83"/>
      <c r="S17" s="4"/>
      <c r="T17" s="4"/>
      <c r="U17" s="4"/>
      <c r="V17" s="4"/>
      <c r="W17" s="4"/>
      <c r="X17" s="23"/>
      <c r="Y17" s="4"/>
      <c r="Z17" s="4"/>
      <c r="AA17" s="4"/>
      <c r="AB17" s="4"/>
      <c r="AC17" s="4"/>
      <c r="AD17" s="4"/>
      <c r="AE17" s="4"/>
    </row>
    <row r="18" spans="1:31" ht="15.75" customHeight="1" x14ac:dyDescent="0.15">
      <c r="A18" s="4" t="s">
        <v>548</v>
      </c>
      <c r="B18" s="4" t="s">
        <v>562</v>
      </c>
      <c r="C18" s="4" t="s">
        <v>550</v>
      </c>
      <c r="D18" s="22" t="s">
        <v>563</v>
      </c>
      <c r="E18" s="4" t="s">
        <v>11</v>
      </c>
      <c r="F18" s="4" t="s">
        <v>14</v>
      </c>
      <c r="G18" s="4" t="s">
        <v>17</v>
      </c>
      <c r="H18" s="23">
        <v>1.41</v>
      </c>
      <c r="I18" s="4">
        <v>2026</v>
      </c>
      <c r="J18" s="4" t="s">
        <v>552</v>
      </c>
      <c r="K18" s="4"/>
      <c r="L18" s="37" t="s">
        <v>564</v>
      </c>
      <c r="M18" s="93" t="s">
        <v>565</v>
      </c>
      <c r="N18" s="97"/>
      <c r="O18" s="4"/>
      <c r="P18" s="38"/>
      <c r="Q18" s="92"/>
      <c r="R18" s="83"/>
      <c r="S18" s="4"/>
      <c r="T18" s="4"/>
      <c r="U18" s="4"/>
      <c r="V18" s="4"/>
      <c r="W18" s="4"/>
      <c r="X18" s="23"/>
      <c r="Y18" s="4"/>
      <c r="Z18" s="4"/>
      <c r="AA18" s="4"/>
      <c r="AB18" s="4"/>
      <c r="AC18" s="4"/>
      <c r="AD18" s="4"/>
      <c r="AE18" s="4"/>
    </row>
    <row r="19" spans="1:31" ht="15.75" customHeight="1" x14ac:dyDescent="0.15">
      <c r="A19" s="4" t="s">
        <v>548</v>
      </c>
      <c r="B19" s="4" t="s">
        <v>566</v>
      </c>
      <c r="C19" s="4" t="s">
        <v>550</v>
      </c>
      <c r="D19" s="22" t="s">
        <v>567</v>
      </c>
      <c r="E19" s="4" t="s">
        <v>11</v>
      </c>
      <c r="F19" s="4" t="s">
        <v>14</v>
      </c>
      <c r="G19" s="4" t="s">
        <v>17</v>
      </c>
      <c r="H19" s="23">
        <v>1.72</v>
      </c>
      <c r="I19" s="4">
        <v>2026</v>
      </c>
      <c r="J19" s="4" t="s">
        <v>552</v>
      </c>
      <c r="K19" s="4"/>
      <c r="L19" s="37" t="s">
        <v>505</v>
      </c>
      <c r="M19" s="98" t="s">
        <v>568</v>
      </c>
      <c r="N19" s="97"/>
      <c r="O19" s="4"/>
      <c r="P19" s="38"/>
      <c r="Q19" s="92"/>
      <c r="R19" s="83"/>
      <c r="S19" s="4"/>
      <c r="T19" s="4"/>
      <c r="U19" s="4"/>
      <c r="V19" s="4"/>
      <c r="W19" s="4"/>
      <c r="X19" s="23"/>
      <c r="Y19" s="4"/>
      <c r="Z19" s="4"/>
      <c r="AA19" s="4"/>
      <c r="AB19" s="4"/>
      <c r="AC19" s="4"/>
      <c r="AD19" s="4"/>
      <c r="AE19" s="4"/>
    </row>
    <row r="20" spans="1:31" ht="15.75" customHeight="1" x14ac:dyDescent="0.15">
      <c r="A20" s="4" t="s">
        <v>548</v>
      </c>
      <c r="B20" s="4" t="s">
        <v>569</v>
      </c>
      <c r="C20" s="4" t="s">
        <v>550</v>
      </c>
      <c r="D20" s="22" t="s">
        <v>570</v>
      </c>
      <c r="E20" s="4" t="s">
        <v>11</v>
      </c>
      <c r="F20" s="4" t="s">
        <v>14</v>
      </c>
      <c r="G20" s="4" t="s">
        <v>17</v>
      </c>
      <c r="H20" s="23">
        <v>1.8</v>
      </c>
      <c r="I20" s="4">
        <v>2026</v>
      </c>
      <c r="J20" s="4" t="s">
        <v>552</v>
      </c>
      <c r="K20" s="4"/>
      <c r="L20" s="37" t="s">
        <v>571</v>
      </c>
      <c r="M20" s="98" t="s">
        <v>572</v>
      </c>
      <c r="N20" s="97"/>
      <c r="O20" s="4"/>
      <c r="P20" s="38"/>
      <c r="Q20" s="92"/>
      <c r="R20" s="83"/>
      <c r="S20" s="4"/>
      <c r="T20" s="4"/>
      <c r="U20" s="4"/>
      <c r="V20" s="4"/>
      <c r="W20" s="4"/>
      <c r="X20" s="23"/>
      <c r="Y20" s="4"/>
      <c r="Z20" s="4"/>
      <c r="AA20" s="4"/>
      <c r="AB20" s="4"/>
      <c r="AC20" s="4"/>
      <c r="AD20" s="4"/>
      <c r="AE20" s="4"/>
    </row>
    <row r="21" spans="1:31" ht="15.75" customHeight="1" x14ac:dyDescent="0.15">
      <c r="A21" s="4" t="s">
        <v>548</v>
      </c>
      <c r="B21" s="4" t="s">
        <v>573</v>
      </c>
      <c r="C21" s="4" t="s">
        <v>550</v>
      </c>
      <c r="D21" s="22" t="s">
        <v>574</v>
      </c>
      <c r="E21" s="4" t="s">
        <v>11</v>
      </c>
      <c r="F21" s="4" t="s">
        <v>14</v>
      </c>
      <c r="G21" s="4" t="s">
        <v>17</v>
      </c>
      <c r="H21" s="23">
        <v>2.1800000000000002</v>
      </c>
      <c r="I21" s="4">
        <v>2026</v>
      </c>
      <c r="J21" s="4" t="s">
        <v>552</v>
      </c>
      <c r="K21" s="4"/>
      <c r="L21" s="37" t="s">
        <v>575</v>
      </c>
      <c r="M21" s="98" t="s">
        <v>576</v>
      </c>
      <c r="N21" s="97"/>
      <c r="O21" s="4"/>
      <c r="P21" s="38"/>
      <c r="Q21" s="92"/>
      <c r="R21" s="83"/>
      <c r="S21" s="4"/>
      <c r="T21" s="4"/>
      <c r="U21" s="4"/>
      <c r="V21" s="4"/>
      <c r="W21" s="4"/>
      <c r="X21" s="23"/>
      <c r="Y21" s="4"/>
      <c r="Z21" s="4"/>
      <c r="AA21" s="4"/>
      <c r="AB21" s="4"/>
      <c r="AC21" s="4"/>
      <c r="AD21" s="4"/>
      <c r="AE21" s="4"/>
    </row>
    <row r="22" spans="1:31" ht="15.75" customHeight="1" x14ac:dyDescent="0.15">
      <c r="A22" s="4" t="s">
        <v>548</v>
      </c>
      <c r="B22" s="4" t="s">
        <v>577</v>
      </c>
      <c r="C22" s="4" t="s">
        <v>550</v>
      </c>
      <c r="D22" s="22" t="s">
        <v>578</v>
      </c>
      <c r="E22" s="4" t="s">
        <v>11</v>
      </c>
      <c r="F22" s="4" t="s">
        <v>14</v>
      </c>
      <c r="G22" s="4" t="s">
        <v>17</v>
      </c>
      <c r="H22" s="23">
        <v>1.88</v>
      </c>
      <c r="I22" s="4">
        <v>2026</v>
      </c>
      <c r="J22" s="4" t="s">
        <v>552</v>
      </c>
      <c r="K22" s="4"/>
      <c r="L22" s="37" t="s">
        <v>579</v>
      </c>
      <c r="M22" s="98" t="s">
        <v>580</v>
      </c>
      <c r="N22" s="97"/>
      <c r="O22" s="4"/>
      <c r="P22" s="92"/>
      <c r="Q22" s="91"/>
      <c r="R22" s="83"/>
      <c r="S22" s="4"/>
      <c r="T22" s="4"/>
      <c r="U22" s="4"/>
      <c r="V22" s="4"/>
      <c r="W22" s="4"/>
      <c r="X22" s="23"/>
      <c r="Y22" s="4"/>
      <c r="Z22" s="4"/>
      <c r="AA22" s="4"/>
      <c r="AB22" s="4"/>
      <c r="AC22" s="4"/>
      <c r="AD22" s="4"/>
      <c r="AE22" s="4"/>
    </row>
    <row r="23" spans="1:31" ht="15.75" customHeight="1" x14ac:dyDescent="0.15">
      <c r="A23" s="4" t="s">
        <v>548</v>
      </c>
      <c r="B23" s="4" t="s">
        <v>581</v>
      </c>
      <c r="C23" s="4" t="s">
        <v>550</v>
      </c>
      <c r="D23" s="22" t="s">
        <v>582</v>
      </c>
      <c r="E23" s="4" t="s">
        <v>11</v>
      </c>
      <c r="F23" s="4" t="s">
        <v>14</v>
      </c>
      <c r="G23" s="4" t="s">
        <v>17</v>
      </c>
      <c r="H23" s="23">
        <v>1.58</v>
      </c>
      <c r="I23" s="4">
        <v>2026</v>
      </c>
      <c r="J23" s="4" t="s">
        <v>552</v>
      </c>
      <c r="K23" s="4"/>
      <c r="L23" s="38"/>
      <c r="M23" s="39"/>
      <c r="N23" s="39"/>
      <c r="O23" s="4"/>
      <c r="P23" s="83"/>
      <c r="Q23" s="83"/>
      <c r="R23" s="83"/>
      <c r="S23" s="4"/>
      <c r="T23" s="4"/>
      <c r="U23" s="4"/>
      <c r="V23" s="4"/>
      <c r="W23" s="4"/>
      <c r="X23" s="23"/>
      <c r="Y23" s="4"/>
      <c r="Z23" s="4"/>
      <c r="AA23" s="4"/>
      <c r="AB23" s="4"/>
      <c r="AC23" s="4"/>
      <c r="AD23" s="4"/>
      <c r="AE23" s="4"/>
    </row>
    <row r="24" spans="1:31" ht="15.75" customHeight="1" x14ac:dyDescent="0.15">
      <c r="A24" s="4" t="s">
        <v>548</v>
      </c>
      <c r="B24" s="4" t="s">
        <v>583</v>
      </c>
      <c r="C24" s="4" t="s">
        <v>550</v>
      </c>
      <c r="D24" s="22" t="s">
        <v>584</v>
      </c>
      <c r="E24" s="4" t="s">
        <v>11</v>
      </c>
      <c r="F24" s="4" t="s">
        <v>14</v>
      </c>
      <c r="G24" s="4" t="s">
        <v>17</v>
      </c>
      <c r="H24" s="23">
        <v>1.637</v>
      </c>
      <c r="I24" s="4">
        <v>2026</v>
      </c>
      <c r="J24" s="4" t="s">
        <v>552</v>
      </c>
      <c r="K24" s="4"/>
      <c r="N24" s="39"/>
      <c r="O24" s="4"/>
      <c r="P24" s="92"/>
      <c r="Q24" s="91"/>
      <c r="R24" s="83"/>
      <c r="S24" s="4"/>
      <c r="T24" s="4"/>
      <c r="U24" s="4"/>
      <c r="V24" s="4"/>
      <c r="W24" s="4"/>
      <c r="X24" s="23"/>
      <c r="Y24" s="4"/>
      <c r="Z24" s="4"/>
      <c r="AA24" s="4"/>
      <c r="AB24" s="4"/>
      <c r="AC24" s="4"/>
      <c r="AD24" s="4"/>
      <c r="AE24" s="4"/>
    </row>
    <row r="25" spans="1:31" ht="15.75" customHeight="1" x14ac:dyDescent="0.15">
      <c r="A25" s="4" t="s">
        <v>548</v>
      </c>
      <c r="B25" s="4" t="s">
        <v>585</v>
      </c>
      <c r="C25" s="4" t="s">
        <v>550</v>
      </c>
      <c r="D25" s="22" t="s">
        <v>586</v>
      </c>
      <c r="E25" s="4" t="s">
        <v>11</v>
      </c>
      <c r="F25" s="4" t="s">
        <v>14</v>
      </c>
      <c r="G25" s="4" t="s">
        <v>17</v>
      </c>
      <c r="H25" s="23">
        <v>2.0230000000000001</v>
      </c>
      <c r="I25" s="4">
        <v>2026</v>
      </c>
      <c r="J25" s="4" t="s">
        <v>552</v>
      </c>
      <c r="K25" s="4"/>
      <c r="L25" s="38"/>
      <c r="M25" s="39"/>
      <c r="N25" s="39"/>
      <c r="O25" s="4"/>
      <c r="P25" s="83"/>
      <c r="Q25" s="83"/>
      <c r="R25" s="83"/>
      <c r="S25" s="4"/>
      <c r="T25" s="4"/>
      <c r="U25" s="4"/>
      <c r="V25" s="4"/>
      <c r="W25" s="4"/>
      <c r="X25" s="23"/>
      <c r="Y25" s="4"/>
      <c r="Z25" s="4"/>
      <c r="AA25" s="4"/>
      <c r="AB25" s="4"/>
      <c r="AC25" s="4"/>
      <c r="AD25" s="4"/>
      <c r="AE25" s="4"/>
    </row>
    <row r="26" spans="1:31" ht="15.75" customHeight="1" x14ac:dyDescent="0.15">
      <c r="A26" s="4" t="s">
        <v>548</v>
      </c>
      <c r="B26" s="4" t="s">
        <v>587</v>
      </c>
      <c r="C26" s="4" t="s">
        <v>550</v>
      </c>
      <c r="D26" s="22" t="s">
        <v>588</v>
      </c>
      <c r="E26" s="4" t="s">
        <v>11</v>
      </c>
      <c r="F26" s="4" t="s">
        <v>14</v>
      </c>
      <c r="G26" s="4" t="s">
        <v>17</v>
      </c>
      <c r="H26" s="23">
        <v>1.429</v>
      </c>
      <c r="I26" s="4">
        <v>2026</v>
      </c>
      <c r="J26" s="4" t="s">
        <v>552</v>
      </c>
      <c r="K26" s="4"/>
      <c r="N26" s="40"/>
      <c r="O26" s="4"/>
      <c r="P26" s="104"/>
      <c r="Q26" s="106"/>
      <c r="R26" s="83"/>
      <c r="S26" s="4"/>
      <c r="T26" s="4"/>
      <c r="U26" s="4"/>
      <c r="V26" s="4"/>
      <c r="W26" s="4"/>
      <c r="X26" s="23"/>
      <c r="Y26" s="4"/>
      <c r="Z26" s="4"/>
      <c r="AA26" s="4"/>
      <c r="AB26" s="4"/>
      <c r="AC26" s="4"/>
      <c r="AD26" s="4"/>
      <c r="AE26" s="4"/>
    </row>
    <row r="27" spans="1:31" ht="15.75" customHeight="1" x14ac:dyDescent="0.15">
      <c r="A27" s="4" t="s">
        <v>548</v>
      </c>
      <c r="B27" s="4" t="s">
        <v>589</v>
      </c>
      <c r="C27" s="4" t="s">
        <v>550</v>
      </c>
      <c r="D27" s="22" t="s">
        <v>590</v>
      </c>
      <c r="E27" s="4" t="s">
        <v>11</v>
      </c>
      <c r="F27" s="4" t="s">
        <v>14</v>
      </c>
      <c r="G27" s="4" t="s">
        <v>17</v>
      </c>
      <c r="H27" s="23">
        <v>1.724</v>
      </c>
      <c r="I27" s="4">
        <v>2026</v>
      </c>
      <c r="J27" s="4" t="s">
        <v>552</v>
      </c>
      <c r="K27" s="4"/>
      <c r="L27" s="41"/>
      <c r="M27" s="40"/>
      <c r="N27" s="40"/>
      <c r="O27" s="4"/>
      <c r="P27" s="83"/>
      <c r="Q27" s="83"/>
      <c r="R27" s="83"/>
      <c r="S27" s="4"/>
      <c r="T27" s="4"/>
      <c r="U27" s="4"/>
      <c r="V27" s="4"/>
      <c r="W27" s="4"/>
      <c r="X27" s="23"/>
      <c r="Y27" s="4"/>
      <c r="Z27" s="4"/>
      <c r="AA27" s="4"/>
      <c r="AB27" s="4"/>
      <c r="AC27" s="4"/>
      <c r="AD27" s="4"/>
      <c r="AE27" s="4"/>
    </row>
    <row r="28" spans="1:31" ht="15.75" customHeight="1" x14ac:dyDescent="0.15">
      <c r="A28" s="4" t="s">
        <v>548</v>
      </c>
      <c r="B28" s="4" t="s">
        <v>591</v>
      </c>
      <c r="C28" s="4" t="s">
        <v>550</v>
      </c>
      <c r="D28" s="22" t="s">
        <v>592</v>
      </c>
      <c r="E28" s="4" t="s">
        <v>11</v>
      </c>
      <c r="F28" s="4" t="s">
        <v>14</v>
      </c>
      <c r="G28" s="4" t="s">
        <v>17</v>
      </c>
      <c r="H28" s="23">
        <v>1.6830000000000001</v>
      </c>
      <c r="I28" s="4">
        <v>2027</v>
      </c>
      <c r="J28" s="4" t="s">
        <v>552</v>
      </c>
      <c r="K28" s="4"/>
      <c r="N28" s="40"/>
      <c r="O28" s="4"/>
      <c r="P28" s="104"/>
      <c r="Q28" s="106"/>
      <c r="R28" s="83"/>
      <c r="S28" s="4"/>
      <c r="T28" s="4"/>
      <c r="U28" s="4"/>
      <c r="V28" s="4"/>
      <c r="W28" s="4"/>
      <c r="X28" s="23"/>
      <c r="Y28" s="4"/>
      <c r="Z28" s="4"/>
      <c r="AA28" s="4"/>
      <c r="AB28" s="4"/>
      <c r="AC28" s="4"/>
      <c r="AD28" s="4"/>
      <c r="AE28" s="4"/>
    </row>
    <row r="29" spans="1:31" ht="15.75" customHeight="1" x14ac:dyDescent="0.15">
      <c r="A29" s="4" t="s">
        <v>548</v>
      </c>
      <c r="B29" s="4" t="s">
        <v>593</v>
      </c>
      <c r="C29" s="4" t="s">
        <v>594</v>
      </c>
      <c r="D29" s="22" t="s">
        <v>595</v>
      </c>
      <c r="E29" s="4" t="s">
        <v>11</v>
      </c>
      <c r="F29" s="4" t="s">
        <v>14</v>
      </c>
      <c r="G29" s="4" t="s">
        <v>17</v>
      </c>
      <c r="H29" s="23">
        <v>1.42</v>
      </c>
      <c r="I29" s="4">
        <v>2027</v>
      </c>
      <c r="J29" s="4" t="s">
        <v>552</v>
      </c>
      <c r="K29" s="4"/>
      <c r="L29" s="41"/>
      <c r="M29" s="40"/>
      <c r="N29" s="40"/>
      <c r="O29" s="4"/>
      <c r="P29" s="83"/>
      <c r="Q29" s="83"/>
      <c r="R29" s="83"/>
      <c r="S29" s="4"/>
      <c r="T29" s="4"/>
      <c r="U29" s="4"/>
      <c r="V29" s="4"/>
      <c r="W29" s="4"/>
      <c r="X29" s="23"/>
      <c r="Y29" s="4"/>
      <c r="Z29" s="4"/>
      <c r="AA29" s="4"/>
      <c r="AB29" s="4"/>
      <c r="AC29" s="4"/>
      <c r="AD29" s="4"/>
      <c r="AE29" s="4"/>
    </row>
    <row r="30" spans="1:31" ht="15.75" customHeight="1" x14ac:dyDescent="0.15">
      <c r="A30" s="4" t="s">
        <v>548</v>
      </c>
      <c r="B30" s="4" t="s">
        <v>596</v>
      </c>
      <c r="C30" s="4" t="s">
        <v>594</v>
      </c>
      <c r="D30" s="22" t="s">
        <v>597</v>
      </c>
      <c r="E30" s="4" t="s">
        <v>11</v>
      </c>
      <c r="F30" s="4" t="s">
        <v>14</v>
      </c>
      <c r="G30" s="4" t="s">
        <v>17</v>
      </c>
      <c r="H30" s="23">
        <v>1.6339999999999999</v>
      </c>
      <c r="I30" s="4">
        <v>2027</v>
      </c>
      <c r="J30" s="4" t="s">
        <v>552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3"/>
      <c r="Y30" s="4"/>
      <c r="Z30" s="4"/>
      <c r="AA30" s="4"/>
      <c r="AB30" s="4"/>
      <c r="AC30" s="4"/>
      <c r="AD30" s="4"/>
      <c r="AE30" s="4"/>
    </row>
    <row r="31" spans="1:31" ht="15.75" customHeight="1" x14ac:dyDescent="0.15">
      <c r="A31" s="4" t="s">
        <v>548</v>
      </c>
      <c r="B31" s="4" t="s">
        <v>598</v>
      </c>
      <c r="C31" s="4" t="s">
        <v>594</v>
      </c>
      <c r="D31" s="22" t="s">
        <v>599</v>
      </c>
      <c r="E31" s="4" t="s">
        <v>11</v>
      </c>
      <c r="F31" s="4" t="s">
        <v>14</v>
      </c>
      <c r="G31" s="4" t="s">
        <v>17</v>
      </c>
      <c r="H31" s="23">
        <v>2.1629999999999998</v>
      </c>
      <c r="I31" s="4">
        <v>2027</v>
      </c>
      <c r="J31" s="4" t="s">
        <v>552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23"/>
      <c r="Y31" s="4"/>
      <c r="Z31" s="4"/>
      <c r="AA31" s="4"/>
      <c r="AB31" s="4"/>
      <c r="AC31" s="4"/>
      <c r="AD31" s="4"/>
      <c r="AE31" s="4"/>
    </row>
    <row r="32" spans="1:31" ht="15.75" customHeight="1" x14ac:dyDescent="0.15">
      <c r="A32" s="4" t="s">
        <v>548</v>
      </c>
      <c r="B32" s="4" t="s">
        <v>600</v>
      </c>
      <c r="C32" s="4" t="s">
        <v>594</v>
      </c>
      <c r="D32" s="22" t="s">
        <v>601</v>
      </c>
      <c r="E32" s="4" t="s">
        <v>11</v>
      </c>
      <c r="F32" s="4" t="s">
        <v>14</v>
      </c>
      <c r="G32" s="4" t="s">
        <v>17</v>
      </c>
      <c r="H32" s="23">
        <v>1.548</v>
      </c>
      <c r="I32" s="4">
        <v>2027</v>
      </c>
      <c r="J32" s="4" t="s">
        <v>552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23"/>
      <c r="Y32" s="4"/>
      <c r="Z32" s="4"/>
      <c r="AA32" s="4"/>
      <c r="AB32" s="4"/>
      <c r="AC32" s="4"/>
      <c r="AD32" s="4"/>
      <c r="AE32" s="4"/>
    </row>
    <row r="33" spans="1:31" ht="15.75" customHeight="1" x14ac:dyDescent="0.15">
      <c r="A33" s="4" t="s">
        <v>548</v>
      </c>
      <c r="B33" s="7" t="s">
        <v>602</v>
      </c>
      <c r="C33" s="4" t="s">
        <v>603</v>
      </c>
      <c r="D33" s="28" t="s">
        <v>604</v>
      </c>
      <c r="E33" s="7" t="s">
        <v>455</v>
      </c>
      <c r="F33" s="4" t="s">
        <v>14</v>
      </c>
      <c r="G33" s="4" t="s">
        <v>17</v>
      </c>
      <c r="H33" s="23">
        <v>2.23</v>
      </c>
      <c r="I33" s="4">
        <v>2028</v>
      </c>
      <c r="J33" s="4" t="s">
        <v>546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23"/>
      <c r="Y33" s="4"/>
      <c r="Z33" s="4"/>
      <c r="AA33" s="4"/>
      <c r="AB33" s="4"/>
      <c r="AC33" s="4"/>
      <c r="AD33" s="4"/>
      <c r="AE33" s="4"/>
    </row>
    <row r="34" spans="1:31" ht="15.75" customHeight="1" x14ac:dyDescent="0.15">
      <c r="A34" s="4" t="s">
        <v>548</v>
      </c>
      <c r="B34" s="4" t="s">
        <v>605</v>
      </c>
      <c r="C34" s="4" t="s">
        <v>603</v>
      </c>
      <c r="D34" s="22" t="s">
        <v>606</v>
      </c>
      <c r="E34" s="4" t="s">
        <v>607</v>
      </c>
      <c r="F34" s="4" t="s">
        <v>14</v>
      </c>
      <c r="G34" s="4" t="s">
        <v>17</v>
      </c>
      <c r="H34" s="23">
        <v>2.23</v>
      </c>
      <c r="I34" s="4">
        <v>2028</v>
      </c>
      <c r="J34" s="4" t="s">
        <v>546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23"/>
      <c r="Y34" s="4"/>
      <c r="Z34" s="4"/>
      <c r="AA34" s="4"/>
      <c r="AB34" s="4"/>
      <c r="AC34" s="4"/>
      <c r="AD34" s="4"/>
      <c r="AE34" s="4"/>
    </row>
    <row r="35" spans="1:31" ht="15.75" customHeight="1" x14ac:dyDescent="0.15">
      <c r="A35" s="4" t="s">
        <v>548</v>
      </c>
      <c r="B35" s="4" t="s">
        <v>608</v>
      </c>
      <c r="C35" s="4" t="s">
        <v>603</v>
      </c>
      <c r="D35" s="22" t="s">
        <v>609</v>
      </c>
      <c r="E35" s="4" t="s">
        <v>607</v>
      </c>
      <c r="F35" s="4" t="s">
        <v>14</v>
      </c>
      <c r="G35" s="4" t="s">
        <v>17</v>
      </c>
      <c r="H35" s="23">
        <v>2.23</v>
      </c>
      <c r="I35" s="4">
        <v>2028</v>
      </c>
      <c r="J35" s="4" t="s">
        <v>546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23"/>
      <c r="Y35" s="4"/>
      <c r="Z35" s="4"/>
      <c r="AA35" s="4"/>
      <c r="AB35" s="4"/>
      <c r="AC35" s="4"/>
      <c r="AD35" s="4"/>
      <c r="AE35" s="4"/>
    </row>
    <row r="36" spans="1:31" ht="15.75" customHeight="1" x14ac:dyDescent="0.15">
      <c r="A36" s="4" t="s">
        <v>548</v>
      </c>
      <c r="B36" s="4" t="s">
        <v>610</v>
      </c>
      <c r="C36" s="4" t="s">
        <v>603</v>
      </c>
      <c r="D36" s="22" t="s">
        <v>611</v>
      </c>
      <c r="E36" s="4" t="s">
        <v>607</v>
      </c>
      <c r="F36" s="4" t="s">
        <v>14</v>
      </c>
      <c r="G36" s="4" t="s">
        <v>17</v>
      </c>
      <c r="H36" s="23">
        <v>2.23</v>
      </c>
      <c r="I36" s="4">
        <v>2028</v>
      </c>
      <c r="J36" s="4" t="s">
        <v>546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23"/>
      <c r="Y36" s="4"/>
      <c r="Z36" s="4"/>
      <c r="AA36" s="4"/>
      <c r="AB36" s="4"/>
      <c r="AC36" s="4"/>
      <c r="AD36" s="4"/>
      <c r="AE36" s="4"/>
    </row>
    <row r="37" spans="1:31" ht="15.75" customHeight="1" x14ac:dyDescent="0.15">
      <c r="A37" s="7" t="s">
        <v>612</v>
      </c>
      <c r="B37" s="7" t="s">
        <v>613</v>
      </c>
      <c r="C37" s="7" t="s">
        <v>614</v>
      </c>
      <c r="D37" s="28" t="s">
        <v>615</v>
      </c>
      <c r="E37" s="7" t="s">
        <v>616</v>
      </c>
      <c r="F37" s="4" t="s">
        <v>14</v>
      </c>
      <c r="G37" s="4" t="s">
        <v>17</v>
      </c>
      <c r="H37" s="23">
        <v>1.47</v>
      </c>
      <c r="I37" s="4">
        <v>2027</v>
      </c>
      <c r="J37" s="7" t="s">
        <v>560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23"/>
      <c r="Y37" s="4"/>
      <c r="Z37" s="4"/>
      <c r="AA37" s="4"/>
      <c r="AB37" s="4"/>
      <c r="AC37" s="4"/>
      <c r="AD37" s="4"/>
      <c r="AE37" s="4"/>
    </row>
    <row r="38" spans="1:31" ht="15.75" customHeight="1" x14ac:dyDescent="0.15">
      <c r="A38" s="7" t="s">
        <v>612</v>
      </c>
      <c r="B38" s="7" t="s">
        <v>617</v>
      </c>
      <c r="C38" s="7" t="s">
        <v>614</v>
      </c>
      <c r="D38" s="28" t="s">
        <v>618</v>
      </c>
      <c r="E38" s="7" t="s">
        <v>607</v>
      </c>
      <c r="F38" s="4" t="s">
        <v>14</v>
      </c>
      <c r="G38" s="4" t="s">
        <v>17</v>
      </c>
      <c r="H38" s="23">
        <v>2.2469999999999999</v>
      </c>
      <c r="I38" s="4">
        <v>2028</v>
      </c>
      <c r="J38" s="7" t="s">
        <v>560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23"/>
      <c r="Y38" s="4"/>
      <c r="Z38" s="4"/>
      <c r="AA38" s="4"/>
      <c r="AB38" s="4"/>
      <c r="AC38" s="4"/>
      <c r="AD38" s="4"/>
      <c r="AE38" s="4"/>
    </row>
    <row r="39" spans="1:31" ht="15.75" customHeight="1" x14ac:dyDescent="0.15">
      <c r="A39" s="4" t="s">
        <v>612</v>
      </c>
      <c r="B39" s="4" t="s">
        <v>619</v>
      </c>
      <c r="C39" s="4" t="s">
        <v>620</v>
      </c>
      <c r="D39" s="4" t="s">
        <v>621</v>
      </c>
      <c r="E39" s="4" t="s">
        <v>11</v>
      </c>
      <c r="F39" s="4" t="s">
        <v>14</v>
      </c>
      <c r="G39" s="4" t="s">
        <v>17</v>
      </c>
      <c r="H39" s="23">
        <f>22.3/16.1</f>
        <v>1.3850931677018632</v>
      </c>
      <c r="I39" s="4">
        <v>2026</v>
      </c>
      <c r="J39" s="4" t="s">
        <v>552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23"/>
      <c r="Y39" s="4"/>
      <c r="Z39" s="4"/>
      <c r="AA39" s="4"/>
      <c r="AB39" s="4"/>
      <c r="AC39" s="4"/>
      <c r="AD39" s="4"/>
      <c r="AE39" s="4"/>
    </row>
    <row r="40" spans="1:31" ht="15.75" customHeight="1" x14ac:dyDescent="0.15">
      <c r="A40" s="4" t="s">
        <v>612</v>
      </c>
      <c r="B40" s="4" t="s">
        <v>622</v>
      </c>
      <c r="C40" s="4" t="s">
        <v>620</v>
      </c>
      <c r="D40" s="4" t="s">
        <v>623</v>
      </c>
      <c r="E40" s="4" t="s">
        <v>11</v>
      </c>
      <c r="F40" s="4" t="s">
        <v>14</v>
      </c>
      <c r="G40" s="4" t="s">
        <v>17</v>
      </c>
      <c r="H40" s="23">
        <v>1.41</v>
      </c>
      <c r="I40" s="4">
        <v>2026</v>
      </c>
      <c r="J40" s="4" t="s">
        <v>552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23"/>
      <c r="Y40" s="4"/>
      <c r="Z40" s="4"/>
      <c r="AA40" s="4"/>
      <c r="AB40" s="4"/>
      <c r="AC40" s="4"/>
      <c r="AD40" s="4"/>
      <c r="AE40" s="4"/>
    </row>
    <row r="41" spans="1:31" ht="15.75" customHeight="1" x14ac:dyDescent="0.15">
      <c r="A41" s="4" t="s">
        <v>612</v>
      </c>
      <c r="B41" s="4" t="s">
        <v>624</v>
      </c>
      <c r="C41" s="4" t="s">
        <v>620</v>
      </c>
      <c r="D41" s="4" t="s">
        <v>625</v>
      </c>
      <c r="E41" s="4" t="s">
        <v>11</v>
      </c>
      <c r="F41" s="4" t="s">
        <v>14</v>
      </c>
      <c r="G41" s="4" t="s">
        <v>17</v>
      </c>
      <c r="H41" s="23">
        <v>1.27</v>
      </c>
      <c r="I41" s="4">
        <v>2026</v>
      </c>
      <c r="J41" s="4" t="s">
        <v>552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23"/>
      <c r="Y41" s="4"/>
      <c r="Z41" s="4"/>
      <c r="AA41" s="4"/>
      <c r="AB41" s="4"/>
      <c r="AC41" s="4"/>
      <c r="AD41" s="4"/>
      <c r="AE41" s="4"/>
    </row>
    <row r="42" spans="1:31" ht="15.75" customHeight="1" x14ac:dyDescent="0.15">
      <c r="A42" s="4" t="s">
        <v>612</v>
      </c>
      <c r="B42" s="4" t="s">
        <v>626</v>
      </c>
      <c r="C42" s="4" t="s">
        <v>620</v>
      </c>
      <c r="D42" s="4" t="s">
        <v>627</v>
      </c>
      <c r="E42" s="4" t="s">
        <v>11</v>
      </c>
      <c r="F42" s="4" t="s">
        <v>14</v>
      </c>
      <c r="G42" s="4" t="s">
        <v>17</v>
      </c>
      <c r="H42" s="23">
        <v>1.34</v>
      </c>
      <c r="I42" s="4">
        <v>2026</v>
      </c>
      <c r="J42" s="4" t="s">
        <v>552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23"/>
      <c r="Y42" s="4"/>
      <c r="Z42" s="4"/>
      <c r="AA42" s="4"/>
      <c r="AB42" s="4"/>
      <c r="AC42" s="4"/>
      <c r="AD42" s="4"/>
      <c r="AE42" s="4"/>
    </row>
    <row r="43" spans="1:31" ht="15.75" customHeight="1" x14ac:dyDescent="0.15">
      <c r="A43" s="4" t="s">
        <v>612</v>
      </c>
      <c r="B43" s="4" t="s">
        <v>628</v>
      </c>
      <c r="C43" s="4" t="s">
        <v>629</v>
      </c>
      <c r="D43" s="4" t="s">
        <v>630</v>
      </c>
      <c r="E43" s="4" t="s">
        <v>11</v>
      </c>
      <c r="F43" s="4" t="s">
        <v>14</v>
      </c>
      <c r="G43" s="4" t="s">
        <v>17</v>
      </c>
      <c r="H43" s="23">
        <v>1.55</v>
      </c>
      <c r="I43" s="4">
        <v>2027</v>
      </c>
      <c r="J43" s="4" t="s">
        <v>552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23"/>
      <c r="Y43" s="4"/>
      <c r="Z43" s="4"/>
      <c r="AA43" s="4"/>
      <c r="AB43" s="4"/>
      <c r="AC43" s="4"/>
      <c r="AD43" s="4"/>
      <c r="AE43" s="4"/>
    </row>
    <row r="44" spans="1:31" ht="15.75" customHeight="1" x14ac:dyDescent="0.15">
      <c r="A44" s="4" t="s">
        <v>612</v>
      </c>
      <c r="B44" s="4" t="s">
        <v>631</v>
      </c>
      <c r="C44" s="4" t="s">
        <v>629</v>
      </c>
      <c r="D44" s="4" t="s">
        <v>632</v>
      </c>
      <c r="E44" s="4" t="s">
        <v>11</v>
      </c>
      <c r="F44" s="4" t="s">
        <v>14</v>
      </c>
      <c r="G44" s="4" t="s">
        <v>17</v>
      </c>
      <c r="H44" s="23">
        <v>1.34</v>
      </c>
      <c r="I44" s="4">
        <v>2027</v>
      </c>
      <c r="J44" s="4" t="s">
        <v>552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23"/>
      <c r="Y44" s="4"/>
      <c r="Z44" s="4"/>
      <c r="AA44" s="4"/>
      <c r="AB44" s="4"/>
      <c r="AC44" s="4"/>
      <c r="AD44" s="4"/>
      <c r="AE44" s="4"/>
    </row>
    <row r="45" spans="1:31" ht="15.75" customHeight="1" x14ac:dyDescent="0.15">
      <c r="A45" s="4" t="s">
        <v>612</v>
      </c>
      <c r="B45" s="4" t="s">
        <v>633</v>
      </c>
      <c r="C45" s="4" t="s">
        <v>634</v>
      </c>
      <c r="D45" s="4" t="s">
        <v>635</v>
      </c>
      <c r="E45" s="4" t="s">
        <v>11</v>
      </c>
      <c r="F45" s="4" t="s">
        <v>14</v>
      </c>
      <c r="G45" s="4" t="s">
        <v>17</v>
      </c>
      <c r="H45" s="23">
        <v>1.52</v>
      </c>
      <c r="I45" s="4">
        <v>2026</v>
      </c>
      <c r="J45" s="4" t="s">
        <v>552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23"/>
      <c r="Y45" s="4"/>
      <c r="Z45" s="4"/>
      <c r="AA45" s="4"/>
      <c r="AB45" s="4"/>
      <c r="AC45" s="4"/>
      <c r="AD45" s="4"/>
      <c r="AE45" s="4"/>
    </row>
    <row r="46" spans="1:31" ht="15.75" customHeight="1" x14ac:dyDescent="0.15">
      <c r="A46" s="4" t="s">
        <v>612</v>
      </c>
      <c r="B46" s="4" t="s">
        <v>636</v>
      </c>
      <c r="C46" s="4" t="s">
        <v>634</v>
      </c>
      <c r="D46" s="4" t="s">
        <v>637</v>
      </c>
      <c r="E46" s="4" t="s">
        <v>11</v>
      </c>
      <c r="F46" s="4" t="s">
        <v>14</v>
      </c>
      <c r="G46" s="4" t="s">
        <v>17</v>
      </c>
      <c r="H46" s="23">
        <v>1.94</v>
      </c>
      <c r="I46" s="4">
        <v>2026</v>
      </c>
      <c r="J46" s="4" t="s">
        <v>552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23"/>
      <c r="Y46" s="4"/>
      <c r="Z46" s="4"/>
      <c r="AA46" s="4"/>
      <c r="AB46" s="4"/>
      <c r="AC46" s="4"/>
      <c r="AD46" s="4"/>
      <c r="AE46" s="4"/>
    </row>
    <row r="47" spans="1:31" ht="15.75" customHeight="1" x14ac:dyDescent="0.15">
      <c r="A47" s="4" t="s">
        <v>612</v>
      </c>
      <c r="B47" s="4" t="s">
        <v>638</v>
      </c>
      <c r="C47" s="4" t="s">
        <v>634</v>
      </c>
      <c r="D47" s="4" t="s">
        <v>639</v>
      </c>
      <c r="E47" s="4" t="s">
        <v>11</v>
      </c>
      <c r="F47" s="4" t="s">
        <v>14</v>
      </c>
      <c r="G47" s="4" t="s">
        <v>17</v>
      </c>
      <c r="H47" s="23">
        <v>1.81</v>
      </c>
      <c r="I47" s="4">
        <v>2026</v>
      </c>
      <c r="J47" s="4" t="s">
        <v>552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23"/>
      <c r="Y47" s="4"/>
      <c r="Z47" s="4"/>
      <c r="AA47" s="4"/>
      <c r="AB47" s="4"/>
      <c r="AC47" s="4"/>
      <c r="AD47" s="4"/>
      <c r="AE47" s="4"/>
    </row>
    <row r="48" spans="1:31" ht="15.75" customHeight="1" x14ac:dyDescent="0.15">
      <c r="A48" s="4" t="s">
        <v>612</v>
      </c>
      <c r="B48" s="4" t="s">
        <v>640</v>
      </c>
      <c r="C48" s="4" t="s">
        <v>634</v>
      </c>
      <c r="D48" s="4" t="s">
        <v>641</v>
      </c>
      <c r="E48" s="4" t="s">
        <v>11</v>
      </c>
      <c r="F48" s="4" t="s">
        <v>14</v>
      </c>
      <c r="G48" s="4" t="s">
        <v>17</v>
      </c>
      <c r="H48" s="23">
        <f>199/171.6</f>
        <v>1.1596736596736597</v>
      </c>
      <c r="I48" s="4">
        <v>2026</v>
      </c>
      <c r="J48" s="4" t="s">
        <v>552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23"/>
      <c r="Y48" s="4"/>
      <c r="Z48" s="4"/>
      <c r="AA48" s="4"/>
      <c r="AB48" s="4"/>
      <c r="AC48" s="4"/>
      <c r="AD48" s="4"/>
      <c r="AE48" s="4"/>
    </row>
    <row r="49" spans="1:31" ht="15.75" customHeight="1" x14ac:dyDescent="0.15">
      <c r="A49" s="4" t="s">
        <v>612</v>
      </c>
      <c r="B49" s="4" t="s">
        <v>642</v>
      </c>
      <c r="C49" s="4" t="s">
        <v>634</v>
      </c>
      <c r="D49" s="4" t="s">
        <v>643</v>
      </c>
      <c r="E49" s="4" t="s">
        <v>11</v>
      </c>
      <c r="F49" s="4" t="s">
        <v>14</v>
      </c>
      <c r="G49" s="4" t="s">
        <v>17</v>
      </c>
      <c r="H49" s="23">
        <v>1.19</v>
      </c>
      <c r="I49" s="4">
        <v>2026</v>
      </c>
      <c r="J49" s="4" t="s">
        <v>552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23"/>
      <c r="Y49" s="4"/>
      <c r="Z49" s="4"/>
      <c r="AA49" s="4"/>
      <c r="AB49" s="4"/>
      <c r="AC49" s="4"/>
      <c r="AD49" s="4"/>
      <c r="AE49" s="4"/>
    </row>
    <row r="50" spans="1:31" ht="15.75" customHeight="1" x14ac:dyDescent="0.15">
      <c r="A50" s="4" t="s">
        <v>612</v>
      </c>
      <c r="B50" s="4" t="s">
        <v>644</v>
      </c>
      <c r="C50" s="4" t="s">
        <v>634</v>
      </c>
      <c r="D50" s="4" t="s">
        <v>645</v>
      </c>
      <c r="E50" s="4" t="s">
        <v>11</v>
      </c>
      <c r="F50" s="4" t="s">
        <v>14</v>
      </c>
      <c r="G50" s="4" t="s">
        <v>17</v>
      </c>
      <c r="H50" s="23">
        <v>1.5</v>
      </c>
      <c r="I50" s="4">
        <v>2026</v>
      </c>
      <c r="J50" s="4" t="s">
        <v>552</v>
      </c>
      <c r="K50" s="4"/>
      <c r="L50" s="4"/>
      <c r="M50" s="4"/>
      <c r="N50" s="4"/>
      <c r="O50" s="4"/>
      <c r="P50" s="4"/>
      <c r="Q50" s="4"/>
      <c r="R50" s="4"/>
      <c r="S50" s="7"/>
      <c r="T50" s="4"/>
      <c r="U50" s="4"/>
      <c r="V50" s="4"/>
      <c r="W50" s="4"/>
      <c r="X50" s="23"/>
      <c r="Y50" s="4"/>
      <c r="Z50" s="4"/>
      <c r="AA50" s="4"/>
      <c r="AB50" s="4"/>
      <c r="AC50" s="4"/>
      <c r="AD50" s="4"/>
      <c r="AE50" s="4"/>
    </row>
    <row r="51" spans="1:31" ht="15.75" customHeight="1" x14ac:dyDescent="0.15">
      <c r="A51" s="4" t="s">
        <v>612</v>
      </c>
      <c r="B51" s="4" t="s">
        <v>646</v>
      </c>
      <c r="C51" s="4" t="s">
        <v>634</v>
      </c>
      <c r="D51" s="4" t="s">
        <v>647</v>
      </c>
      <c r="E51" s="4" t="s">
        <v>11</v>
      </c>
      <c r="F51" s="4" t="s">
        <v>14</v>
      </c>
      <c r="G51" s="4" t="s">
        <v>17</v>
      </c>
      <c r="H51" s="23">
        <v>1.33</v>
      </c>
      <c r="I51" s="4">
        <v>2026</v>
      </c>
      <c r="J51" s="4" t="s">
        <v>552</v>
      </c>
      <c r="K51" s="4"/>
      <c r="L51" s="4"/>
      <c r="M51" s="4"/>
      <c r="N51" s="4"/>
      <c r="O51" s="4"/>
      <c r="P51" s="4"/>
      <c r="Q51" s="4"/>
      <c r="R51" s="4"/>
      <c r="S51" s="7"/>
      <c r="T51" s="4"/>
      <c r="U51" s="4"/>
      <c r="V51" s="4"/>
      <c r="W51" s="4"/>
      <c r="X51" s="23"/>
      <c r="Y51" s="4"/>
      <c r="Z51" s="4"/>
      <c r="AA51" s="4"/>
      <c r="AB51" s="4"/>
      <c r="AC51" s="4"/>
      <c r="AD51" s="4"/>
      <c r="AE51" s="4"/>
    </row>
    <row r="52" spans="1:31" ht="15.75" customHeight="1" x14ac:dyDescent="0.15">
      <c r="A52" s="4" t="s">
        <v>612</v>
      </c>
      <c r="B52" s="4" t="s">
        <v>648</v>
      </c>
      <c r="C52" s="4" t="s">
        <v>649</v>
      </c>
      <c r="D52" s="22" t="s">
        <v>650</v>
      </c>
      <c r="E52" s="4" t="s">
        <v>607</v>
      </c>
      <c r="F52" s="4" t="s">
        <v>14</v>
      </c>
      <c r="G52" s="4" t="s">
        <v>17</v>
      </c>
      <c r="H52" s="23">
        <v>2.0299999999999998</v>
      </c>
      <c r="I52" s="4">
        <v>2028</v>
      </c>
      <c r="J52" s="4" t="s">
        <v>560</v>
      </c>
      <c r="K52" s="4"/>
      <c r="L52" s="4"/>
      <c r="M52" s="4"/>
      <c r="N52" s="4"/>
      <c r="O52" s="4"/>
      <c r="P52" s="4"/>
      <c r="Q52" s="4"/>
      <c r="R52" s="4"/>
      <c r="S52" s="7"/>
      <c r="T52" s="4"/>
      <c r="U52" s="4"/>
      <c r="V52" s="4"/>
      <c r="W52" s="4"/>
      <c r="X52" s="23"/>
      <c r="Y52" s="4"/>
      <c r="Z52" s="4"/>
      <c r="AA52" s="4"/>
      <c r="AB52" s="4"/>
      <c r="AC52" s="4"/>
      <c r="AD52" s="4"/>
      <c r="AE52" s="4"/>
    </row>
    <row r="53" spans="1:31" ht="15.75" customHeight="1" x14ac:dyDescent="0.15">
      <c r="A53" s="4" t="s">
        <v>612</v>
      </c>
      <c r="B53" s="4" t="s">
        <v>651</v>
      </c>
      <c r="C53" s="4" t="s">
        <v>649</v>
      </c>
      <c r="D53" s="22" t="s">
        <v>652</v>
      </c>
      <c r="E53" s="4" t="s">
        <v>607</v>
      </c>
      <c r="F53" s="4" t="s">
        <v>14</v>
      </c>
      <c r="G53" s="4" t="s">
        <v>17</v>
      </c>
      <c r="H53" s="23">
        <v>2.23</v>
      </c>
      <c r="I53" s="4">
        <v>2028</v>
      </c>
      <c r="J53" s="4" t="s">
        <v>546</v>
      </c>
      <c r="K53" s="4"/>
      <c r="L53" s="4"/>
      <c r="M53" s="4"/>
      <c r="N53" s="4"/>
      <c r="O53" s="4"/>
      <c r="P53" s="4"/>
      <c r="Q53" s="4"/>
      <c r="R53" s="4"/>
      <c r="S53" s="7"/>
      <c r="T53" s="4"/>
      <c r="U53" s="4"/>
      <c r="V53" s="4"/>
      <c r="W53" s="4"/>
      <c r="X53" s="23"/>
      <c r="Y53" s="4"/>
      <c r="Z53" s="4"/>
      <c r="AA53" s="4"/>
      <c r="AB53" s="4"/>
      <c r="AC53" s="4"/>
      <c r="AD53" s="4"/>
      <c r="AE53" s="4"/>
    </row>
    <row r="54" spans="1:31" ht="15.75" customHeight="1" x14ac:dyDescent="0.15">
      <c r="A54" s="4" t="s">
        <v>612</v>
      </c>
      <c r="B54" s="4" t="s">
        <v>653</v>
      </c>
      <c r="C54" s="4" t="s">
        <v>649</v>
      </c>
      <c r="D54" s="22" t="s">
        <v>654</v>
      </c>
      <c r="E54" s="4" t="s">
        <v>607</v>
      </c>
      <c r="F54" s="4" t="s">
        <v>14</v>
      </c>
      <c r="G54" s="4" t="s">
        <v>17</v>
      </c>
      <c r="H54" s="23">
        <v>2.23</v>
      </c>
      <c r="I54" s="4">
        <v>2028</v>
      </c>
      <c r="J54" s="4" t="s">
        <v>546</v>
      </c>
      <c r="K54" s="4"/>
      <c r="L54" s="4"/>
      <c r="M54" s="4"/>
      <c r="N54" s="4"/>
      <c r="O54" s="4"/>
      <c r="P54" s="4"/>
      <c r="Q54" s="4"/>
      <c r="R54" s="4"/>
      <c r="S54" s="7"/>
      <c r="T54" s="4"/>
      <c r="U54" s="4"/>
      <c r="V54" s="4"/>
      <c r="W54" s="4"/>
      <c r="X54" s="23"/>
      <c r="Y54" s="4"/>
      <c r="Z54" s="4"/>
      <c r="AA54" s="4"/>
      <c r="AB54" s="4"/>
      <c r="AC54" s="4"/>
      <c r="AD54" s="4"/>
      <c r="AE54" s="4"/>
    </row>
    <row r="55" spans="1:31" ht="15.75" customHeight="1" x14ac:dyDescent="0.15">
      <c r="A55" s="4" t="s">
        <v>612</v>
      </c>
      <c r="B55" s="4" t="s">
        <v>655</v>
      </c>
      <c r="C55" s="4" t="s">
        <v>649</v>
      </c>
      <c r="D55" s="22" t="s">
        <v>656</v>
      </c>
      <c r="E55" s="4" t="s">
        <v>607</v>
      </c>
      <c r="F55" s="4" t="s">
        <v>14</v>
      </c>
      <c r="G55" s="4" t="s">
        <v>17</v>
      </c>
      <c r="H55" s="23">
        <v>2.23</v>
      </c>
      <c r="I55" s="4">
        <v>2028</v>
      </c>
      <c r="J55" s="4" t="s">
        <v>546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23"/>
      <c r="Y55" s="4"/>
      <c r="Z55" s="4"/>
      <c r="AA55" s="4"/>
      <c r="AB55" s="4"/>
      <c r="AC55" s="4"/>
      <c r="AD55" s="4"/>
      <c r="AE55" s="4"/>
    </row>
    <row r="56" spans="1:31" ht="15.75" customHeight="1" x14ac:dyDescent="0.15">
      <c r="A56" s="4" t="s">
        <v>612</v>
      </c>
      <c r="B56" s="4" t="s">
        <v>657</v>
      </c>
      <c r="C56" s="4" t="s">
        <v>649</v>
      </c>
      <c r="D56" s="22" t="s">
        <v>658</v>
      </c>
      <c r="E56" s="4" t="s">
        <v>607</v>
      </c>
      <c r="F56" s="4" t="s">
        <v>14</v>
      </c>
      <c r="G56" s="4" t="s">
        <v>17</v>
      </c>
      <c r="H56" s="23">
        <v>2.23</v>
      </c>
      <c r="I56" s="4">
        <v>2028</v>
      </c>
      <c r="J56" s="4" t="s">
        <v>546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23"/>
      <c r="Y56" s="4"/>
      <c r="Z56" s="4"/>
      <c r="AA56" s="4"/>
      <c r="AB56" s="4"/>
      <c r="AC56" s="4"/>
      <c r="AD56" s="4"/>
      <c r="AE56" s="4"/>
    </row>
    <row r="57" spans="1:31" ht="15.75" customHeight="1" x14ac:dyDescent="0.15">
      <c r="A57" s="4" t="s">
        <v>612</v>
      </c>
      <c r="B57" s="4" t="s">
        <v>659</v>
      </c>
      <c r="C57" s="4" t="s">
        <v>649</v>
      </c>
      <c r="D57" s="22" t="s">
        <v>660</v>
      </c>
      <c r="E57" s="4" t="s">
        <v>607</v>
      </c>
      <c r="F57" s="4" t="s">
        <v>14</v>
      </c>
      <c r="G57" s="4" t="s">
        <v>17</v>
      </c>
      <c r="H57" s="23">
        <v>2.2429999999999999</v>
      </c>
      <c r="I57" s="4">
        <v>2028</v>
      </c>
      <c r="J57" s="4" t="s">
        <v>560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23"/>
      <c r="Y57" s="4"/>
      <c r="Z57" s="4"/>
      <c r="AA57" s="4"/>
      <c r="AB57" s="4"/>
      <c r="AC57" s="4"/>
      <c r="AD57" s="4"/>
      <c r="AE57" s="4"/>
    </row>
    <row r="58" spans="1:31" ht="15.75" customHeight="1" x14ac:dyDescent="0.15">
      <c r="A58" s="4" t="s">
        <v>612</v>
      </c>
      <c r="B58" s="4" t="s">
        <v>661</v>
      </c>
      <c r="C58" s="4" t="s">
        <v>649</v>
      </c>
      <c r="D58" s="4" t="s">
        <v>662</v>
      </c>
      <c r="E58" s="4" t="s">
        <v>607</v>
      </c>
      <c r="F58" s="4" t="s">
        <v>14</v>
      </c>
      <c r="G58" s="4" t="s">
        <v>17</v>
      </c>
      <c r="H58" s="23">
        <v>1.81</v>
      </c>
      <c r="I58" s="4">
        <v>2028</v>
      </c>
      <c r="J58" s="4" t="s">
        <v>553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23"/>
      <c r="Y58" s="4"/>
      <c r="Z58" s="4"/>
      <c r="AA58" s="4"/>
      <c r="AB58" s="4"/>
      <c r="AC58" s="4"/>
      <c r="AD58" s="4"/>
      <c r="AE58" s="4"/>
    </row>
    <row r="59" spans="1:31" ht="15.75" customHeight="1" x14ac:dyDescent="0.15">
      <c r="A59" s="4" t="s">
        <v>612</v>
      </c>
      <c r="B59" s="4" t="s">
        <v>661</v>
      </c>
      <c r="C59" s="4" t="s">
        <v>649</v>
      </c>
      <c r="D59" s="22" t="s">
        <v>663</v>
      </c>
      <c r="E59" s="4" t="s">
        <v>664</v>
      </c>
      <c r="F59" s="4" t="s">
        <v>14</v>
      </c>
      <c r="G59" s="4" t="s">
        <v>17</v>
      </c>
      <c r="H59" s="23">
        <v>1.97</v>
      </c>
      <c r="I59" s="4">
        <v>2027</v>
      </c>
      <c r="J59" s="4" t="s">
        <v>553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23"/>
      <c r="Y59" s="4"/>
      <c r="Z59" s="4"/>
      <c r="AA59" s="4"/>
      <c r="AB59" s="4"/>
      <c r="AC59" s="4"/>
      <c r="AD59" s="4"/>
      <c r="AE59" s="4"/>
    </row>
    <row r="60" spans="1:31" ht="15.75" customHeight="1" x14ac:dyDescent="0.15">
      <c r="A60" s="4" t="s">
        <v>612</v>
      </c>
      <c r="B60" s="4" t="s">
        <v>665</v>
      </c>
      <c r="C60" s="4" t="s">
        <v>614</v>
      </c>
      <c r="D60" s="22" t="s">
        <v>666</v>
      </c>
      <c r="E60" s="4" t="s">
        <v>607</v>
      </c>
      <c r="F60" s="4" t="s">
        <v>14</v>
      </c>
      <c r="G60" s="4" t="s">
        <v>17</v>
      </c>
      <c r="H60" s="23">
        <v>1.99</v>
      </c>
      <c r="I60" s="4">
        <v>2028</v>
      </c>
      <c r="J60" s="4" t="s">
        <v>560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23"/>
      <c r="Y60" s="4"/>
      <c r="Z60" s="4"/>
      <c r="AA60" s="4"/>
      <c r="AB60" s="4"/>
      <c r="AC60" s="4"/>
      <c r="AD60" s="4"/>
      <c r="AE60" s="4"/>
    </row>
    <row r="61" spans="1:31" ht="15.75" customHeight="1" x14ac:dyDescent="0.15">
      <c r="A61" s="4" t="s">
        <v>612</v>
      </c>
      <c r="B61" s="4" t="s">
        <v>667</v>
      </c>
      <c r="C61" s="4" t="s">
        <v>649</v>
      </c>
      <c r="D61" s="22" t="s">
        <v>668</v>
      </c>
      <c r="E61" s="4" t="s">
        <v>607</v>
      </c>
      <c r="F61" s="4" t="s">
        <v>14</v>
      </c>
      <c r="G61" s="4" t="s">
        <v>17</v>
      </c>
      <c r="H61" s="23">
        <v>2.2400000000000002</v>
      </c>
      <c r="I61" s="4">
        <v>2028</v>
      </c>
      <c r="J61" s="4" t="s">
        <v>560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23"/>
      <c r="Y61" s="4"/>
      <c r="Z61" s="4"/>
      <c r="AA61" s="4"/>
      <c r="AB61" s="4"/>
      <c r="AC61" s="4"/>
      <c r="AD61" s="4"/>
      <c r="AE61" s="4"/>
    </row>
    <row r="62" spans="1:31" ht="15.75" customHeight="1" x14ac:dyDescent="0.15">
      <c r="A62" s="4" t="s">
        <v>612</v>
      </c>
      <c r="B62" s="7" t="s">
        <v>669</v>
      </c>
      <c r="C62" s="7" t="s">
        <v>670</v>
      </c>
      <c r="D62" s="28" t="s">
        <v>671</v>
      </c>
      <c r="E62" s="7" t="s">
        <v>455</v>
      </c>
      <c r="F62" s="4" t="s">
        <v>14</v>
      </c>
      <c r="G62" s="4" t="s">
        <v>17</v>
      </c>
      <c r="H62" s="23">
        <v>2.2429999999999999</v>
      </c>
      <c r="I62" s="4">
        <v>2028</v>
      </c>
      <c r="J62" s="7" t="s">
        <v>560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23"/>
      <c r="Y62" s="4"/>
      <c r="Z62" s="4"/>
      <c r="AA62" s="4"/>
      <c r="AB62" s="4"/>
      <c r="AC62" s="4"/>
      <c r="AD62" s="4"/>
      <c r="AE62" s="4"/>
    </row>
    <row r="63" spans="1:31" ht="15.75" customHeight="1" x14ac:dyDescent="0.15">
      <c r="A63" s="7" t="s">
        <v>387</v>
      </c>
      <c r="B63" s="7" t="s">
        <v>672</v>
      </c>
      <c r="C63" s="7" t="s">
        <v>673</v>
      </c>
      <c r="D63" s="28" t="s">
        <v>674</v>
      </c>
      <c r="E63" s="4" t="s">
        <v>607</v>
      </c>
      <c r="F63" s="4" t="s">
        <v>14</v>
      </c>
      <c r="G63" s="4" t="s">
        <v>17</v>
      </c>
      <c r="H63" s="23">
        <v>2.76</v>
      </c>
      <c r="I63" s="4">
        <v>2027</v>
      </c>
      <c r="J63" s="4" t="s">
        <v>539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23"/>
      <c r="Y63" s="4"/>
      <c r="Z63" s="4"/>
      <c r="AA63" s="4"/>
      <c r="AB63" s="4"/>
      <c r="AC63" s="4"/>
      <c r="AD63" s="4"/>
      <c r="AE63" s="4"/>
    </row>
    <row r="64" spans="1:31" ht="15.75" customHeight="1" x14ac:dyDescent="0.15">
      <c r="A64" s="4" t="s">
        <v>396</v>
      </c>
      <c r="B64" s="4" t="s">
        <v>675</v>
      </c>
      <c r="C64" s="4" t="s">
        <v>676</v>
      </c>
      <c r="D64" s="22" t="s">
        <v>674</v>
      </c>
      <c r="E64" s="4" t="s">
        <v>607</v>
      </c>
      <c r="F64" s="4" t="s">
        <v>14</v>
      </c>
      <c r="G64" s="4" t="s">
        <v>17</v>
      </c>
      <c r="H64" s="23">
        <v>3.3</v>
      </c>
      <c r="I64" s="4">
        <v>2027</v>
      </c>
      <c r="J64" s="4" t="s">
        <v>539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23"/>
      <c r="Y64" s="4"/>
      <c r="Z64" s="4"/>
      <c r="AA64" s="4"/>
      <c r="AB64" s="4"/>
      <c r="AC64" s="4"/>
      <c r="AD64" s="4"/>
      <c r="AE64" s="4"/>
    </row>
    <row r="65" spans="1:31" ht="15.75" customHeight="1" x14ac:dyDescent="0.15">
      <c r="A65" s="4" t="s">
        <v>396</v>
      </c>
      <c r="B65" s="4" t="s">
        <v>677</v>
      </c>
      <c r="C65" s="4" t="s">
        <v>676</v>
      </c>
      <c r="D65" s="22" t="s">
        <v>674</v>
      </c>
      <c r="E65" s="4" t="s">
        <v>607</v>
      </c>
      <c r="F65" s="4" t="s">
        <v>14</v>
      </c>
      <c r="G65" s="4" t="s">
        <v>17</v>
      </c>
      <c r="H65" s="23">
        <v>1.61</v>
      </c>
      <c r="I65" s="4">
        <v>2027</v>
      </c>
      <c r="J65" s="4" t="s">
        <v>539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23"/>
      <c r="Y65" s="4"/>
      <c r="Z65" s="4"/>
      <c r="AA65" s="4"/>
      <c r="AB65" s="4"/>
      <c r="AC65" s="4"/>
      <c r="AD65" s="4"/>
      <c r="AE65" s="4"/>
    </row>
    <row r="66" spans="1:31" ht="15.75" customHeight="1" x14ac:dyDescent="0.15">
      <c r="A66" s="4" t="s">
        <v>396</v>
      </c>
      <c r="B66" s="4" t="s">
        <v>678</v>
      </c>
      <c r="C66" s="4" t="s">
        <v>676</v>
      </c>
      <c r="D66" s="22" t="s">
        <v>674</v>
      </c>
      <c r="E66" s="4" t="s">
        <v>607</v>
      </c>
      <c r="F66" s="4" t="s">
        <v>14</v>
      </c>
      <c r="G66" s="4" t="s">
        <v>17</v>
      </c>
      <c r="H66" s="23">
        <v>2.94</v>
      </c>
      <c r="I66" s="4">
        <v>2027</v>
      </c>
      <c r="J66" s="4" t="s">
        <v>539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23"/>
      <c r="Y66" s="4"/>
      <c r="Z66" s="4"/>
      <c r="AA66" s="4"/>
      <c r="AB66" s="4"/>
      <c r="AC66" s="4"/>
      <c r="AD66" s="4"/>
      <c r="AE66" s="4"/>
    </row>
    <row r="67" spans="1:31" ht="15.75" customHeight="1" x14ac:dyDescent="0.15">
      <c r="A67" s="4" t="s">
        <v>396</v>
      </c>
      <c r="B67" s="4" t="s">
        <v>679</v>
      </c>
      <c r="C67" s="4" t="s">
        <v>680</v>
      </c>
      <c r="D67" s="22" t="s">
        <v>674</v>
      </c>
      <c r="E67" s="4" t="s">
        <v>607</v>
      </c>
      <c r="F67" s="4" t="s">
        <v>14</v>
      </c>
      <c r="G67" s="4" t="s">
        <v>17</v>
      </c>
      <c r="H67" s="23">
        <v>1.37</v>
      </c>
      <c r="I67" s="4">
        <v>2027</v>
      </c>
      <c r="J67" s="4" t="s">
        <v>539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23"/>
      <c r="Y67" s="4"/>
      <c r="Z67" s="4"/>
      <c r="AA67" s="4"/>
      <c r="AB67" s="4"/>
      <c r="AC67" s="4"/>
      <c r="AD67" s="4"/>
      <c r="AE67" s="4"/>
    </row>
    <row r="68" spans="1:31" ht="15.75" customHeight="1" x14ac:dyDescent="0.15">
      <c r="A68" s="4" t="s">
        <v>396</v>
      </c>
      <c r="B68" s="4" t="s">
        <v>681</v>
      </c>
      <c r="C68" s="4" t="s">
        <v>680</v>
      </c>
      <c r="D68" s="22" t="s">
        <v>674</v>
      </c>
      <c r="E68" s="4" t="s">
        <v>607</v>
      </c>
      <c r="F68" s="4" t="s">
        <v>14</v>
      </c>
      <c r="G68" s="4" t="s">
        <v>17</v>
      </c>
      <c r="H68" s="23">
        <v>2.84</v>
      </c>
      <c r="I68" s="4">
        <v>2027</v>
      </c>
      <c r="J68" s="4" t="s">
        <v>539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23"/>
      <c r="Y68" s="4"/>
      <c r="Z68" s="4"/>
      <c r="AA68" s="4"/>
      <c r="AB68" s="4"/>
      <c r="AC68" s="4"/>
      <c r="AD68" s="4"/>
      <c r="AE68" s="4"/>
    </row>
    <row r="69" spans="1:31" ht="15.75" customHeight="1" x14ac:dyDescent="0.15">
      <c r="A69" s="4" t="s">
        <v>396</v>
      </c>
      <c r="B69" s="4" t="s">
        <v>682</v>
      </c>
      <c r="C69" s="4" t="s">
        <v>683</v>
      </c>
      <c r="D69" s="22" t="s">
        <v>674</v>
      </c>
      <c r="E69" s="4" t="s">
        <v>504</v>
      </c>
      <c r="F69" s="4" t="s">
        <v>14</v>
      </c>
      <c r="G69" s="4" t="s">
        <v>17</v>
      </c>
      <c r="H69" s="23">
        <v>1.99</v>
      </c>
      <c r="I69" s="4">
        <v>2028</v>
      </c>
      <c r="J69" s="4" t="s">
        <v>539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23"/>
      <c r="Y69" s="4"/>
      <c r="Z69" s="4"/>
      <c r="AA69" s="4"/>
      <c r="AB69" s="4"/>
      <c r="AC69" s="4"/>
      <c r="AD69" s="4"/>
      <c r="AE69" s="4"/>
    </row>
    <row r="70" spans="1:31" ht="15.75" customHeight="1" x14ac:dyDescent="0.15">
      <c r="A70" s="4" t="s">
        <v>396</v>
      </c>
      <c r="B70" s="4" t="s">
        <v>684</v>
      </c>
      <c r="C70" s="4" t="s">
        <v>685</v>
      </c>
      <c r="D70" s="22" t="s">
        <v>674</v>
      </c>
      <c r="E70" s="4" t="s">
        <v>686</v>
      </c>
      <c r="F70" s="4" t="s">
        <v>14</v>
      </c>
      <c r="G70" s="4" t="s">
        <v>17</v>
      </c>
      <c r="H70" s="23">
        <v>2.2000000000000002</v>
      </c>
      <c r="I70" s="4">
        <v>2027</v>
      </c>
      <c r="J70" s="4" t="s">
        <v>539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23"/>
      <c r="Y70" s="4"/>
      <c r="Z70" s="4"/>
      <c r="AA70" s="4"/>
      <c r="AB70" s="4"/>
      <c r="AC70" s="4"/>
      <c r="AD70" s="4"/>
      <c r="AE70" s="4"/>
    </row>
    <row r="71" spans="1:31" ht="15.75" customHeight="1" x14ac:dyDescent="0.15">
      <c r="A71" s="4" t="s">
        <v>396</v>
      </c>
      <c r="B71" s="4" t="s">
        <v>687</v>
      </c>
      <c r="C71" s="4" t="s">
        <v>688</v>
      </c>
      <c r="D71" s="22" t="s">
        <v>674</v>
      </c>
      <c r="E71" s="4" t="s">
        <v>686</v>
      </c>
      <c r="F71" s="4" t="s">
        <v>14</v>
      </c>
      <c r="G71" s="4" t="s">
        <v>17</v>
      </c>
      <c r="H71" s="23">
        <v>2.17</v>
      </c>
      <c r="I71" s="4">
        <v>2027</v>
      </c>
      <c r="J71" s="4" t="s">
        <v>539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23"/>
      <c r="Y71" s="4"/>
      <c r="Z71" s="4"/>
      <c r="AA71" s="4"/>
      <c r="AB71" s="4"/>
      <c r="AC71" s="4"/>
      <c r="AD71" s="4"/>
      <c r="AE71" s="4"/>
    </row>
    <row r="72" spans="1:31" ht="15.75" customHeight="1" x14ac:dyDescent="0.15">
      <c r="A72" s="4" t="s">
        <v>396</v>
      </c>
      <c r="B72" s="4" t="s">
        <v>689</v>
      </c>
      <c r="C72" s="4" t="s">
        <v>690</v>
      </c>
      <c r="D72" s="22" t="s">
        <v>691</v>
      </c>
      <c r="E72" s="4" t="s">
        <v>405</v>
      </c>
      <c r="F72" s="4" t="s">
        <v>14</v>
      </c>
      <c r="G72" s="4" t="s">
        <v>17</v>
      </c>
      <c r="H72" s="23">
        <v>4.8600000000000003</v>
      </c>
      <c r="I72" s="4">
        <v>2027</v>
      </c>
      <c r="J72" s="4" t="s">
        <v>525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23"/>
      <c r="Y72" s="4"/>
      <c r="Z72" s="4"/>
      <c r="AA72" s="4"/>
      <c r="AB72" s="4"/>
      <c r="AC72" s="4"/>
      <c r="AD72" s="4"/>
      <c r="AE72" s="4"/>
    </row>
    <row r="73" spans="1:31" ht="15.75" customHeight="1" x14ac:dyDescent="0.15">
      <c r="A73" s="4" t="s">
        <v>396</v>
      </c>
      <c r="B73" s="4" t="s">
        <v>692</v>
      </c>
      <c r="C73" s="7" t="s">
        <v>614</v>
      </c>
      <c r="D73" s="22" t="s">
        <v>674</v>
      </c>
      <c r="E73" s="4" t="s">
        <v>504</v>
      </c>
      <c r="F73" s="4" t="s">
        <v>14</v>
      </c>
      <c r="G73" s="4" t="s">
        <v>17</v>
      </c>
      <c r="H73" s="23">
        <v>2.04</v>
      </c>
      <c r="I73" s="4">
        <v>2027</v>
      </c>
      <c r="J73" s="7" t="s">
        <v>560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23"/>
      <c r="Y73" s="4"/>
      <c r="Z73" s="4"/>
      <c r="AA73" s="4"/>
      <c r="AB73" s="4"/>
      <c r="AC73" s="4"/>
      <c r="AD73" s="4"/>
      <c r="AE73" s="4"/>
    </row>
    <row r="74" spans="1:31" ht="15.75" customHeight="1" x14ac:dyDescent="0.15">
      <c r="A74" s="4" t="s">
        <v>396</v>
      </c>
      <c r="B74" s="4" t="s">
        <v>693</v>
      </c>
      <c r="C74" s="7" t="s">
        <v>614</v>
      </c>
      <c r="D74" s="22" t="s">
        <v>674</v>
      </c>
      <c r="E74" s="4" t="s">
        <v>398</v>
      </c>
      <c r="F74" s="4" t="s">
        <v>14</v>
      </c>
      <c r="G74" s="4" t="s">
        <v>17</v>
      </c>
      <c r="H74" s="23">
        <f>2.78/1.485</f>
        <v>1.8720538720538717</v>
      </c>
      <c r="I74" s="4">
        <v>2028</v>
      </c>
      <c r="J74" s="4" t="s">
        <v>546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23"/>
      <c r="Y74" s="4"/>
      <c r="Z74" s="4"/>
      <c r="AA74" s="4"/>
      <c r="AB74" s="4"/>
      <c r="AC74" s="4"/>
      <c r="AD74" s="4"/>
      <c r="AE74" s="4"/>
    </row>
    <row r="75" spans="1:31" ht="15.75" customHeight="1" x14ac:dyDescent="0.15">
      <c r="A75" s="4" t="s">
        <v>396</v>
      </c>
      <c r="B75" s="4" t="s">
        <v>694</v>
      </c>
      <c r="C75" s="4" t="s">
        <v>614</v>
      </c>
      <c r="D75" s="22" t="s">
        <v>674</v>
      </c>
      <c r="E75" s="4" t="s">
        <v>398</v>
      </c>
      <c r="F75" s="4" t="s">
        <v>14</v>
      </c>
      <c r="G75" s="4" t="s">
        <v>17</v>
      </c>
      <c r="H75" s="23">
        <f>2.02/1.74</f>
        <v>1.1609195402298851</v>
      </c>
      <c r="I75" s="4">
        <v>2028</v>
      </c>
      <c r="J75" s="4" t="s">
        <v>553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23"/>
      <c r="Y75" s="4"/>
      <c r="Z75" s="4"/>
      <c r="AA75" s="4"/>
      <c r="AB75" s="4"/>
      <c r="AC75" s="4"/>
      <c r="AD75" s="4"/>
      <c r="AE75" s="4"/>
    </row>
    <row r="76" spans="1:31" ht="15.75" customHeight="1" x14ac:dyDescent="0.15">
      <c r="A76" s="4" t="s">
        <v>396</v>
      </c>
      <c r="B76" s="4" t="s">
        <v>695</v>
      </c>
      <c r="C76" s="4" t="s">
        <v>649</v>
      </c>
      <c r="D76" s="22" t="s">
        <v>674</v>
      </c>
      <c r="E76" s="4" t="s">
        <v>686</v>
      </c>
      <c r="F76" s="4" t="s">
        <v>14</v>
      </c>
      <c r="G76" s="4" t="s">
        <v>17</v>
      </c>
      <c r="H76" s="23">
        <v>2.0699999999999998</v>
      </c>
      <c r="I76" s="4">
        <v>2027</v>
      </c>
      <c r="J76" s="4" t="s">
        <v>539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23"/>
      <c r="Y76" s="4"/>
      <c r="Z76" s="4"/>
      <c r="AA76" s="4"/>
      <c r="AB76" s="4"/>
      <c r="AC76" s="4"/>
      <c r="AD76" s="4"/>
      <c r="AE76" s="4"/>
    </row>
    <row r="77" spans="1:31" ht="15.75" customHeight="1" x14ac:dyDescent="0.15">
      <c r="A77" s="4" t="s">
        <v>396</v>
      </c>
      <c r="B77" s="4" t="s">
        <v>696</v>
      </c>
      <c r="C77" s="4" t="s">
        <v>649</v>
      </c>
      <c r="D77" s="22" t="s">
        <v>674</v>
      </c>
      <c r="E77" s="4" t="s">
        <v>686</v>
      </c>
      <c r="F77" s="4" t="s">
        <v>14</v>
      </c>
      <c r="G77" s="4" t="s">
        <v>17</v>
      </c>
      <c r="H77" s="23">
        <v>2.11</v>
      </c>
      <c r="I77" s="4">
        <v>2027</v>
      </c>
      <c r="J77" s="4" t="s">
        <v>560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23"/>
      <c r="Y77" s="4"/>
      <c r="Z77" s="4"/>
      <c r="AA77" s="4"/>
      <c r="AB77" s="4"/>
      <c r="AC77" s="4"/>
      <c r="AD77" s="4"/>
      <c r="AE77" s="4"/>
    </row>
    <row r="78" spans="1:31" ht="15.75" customHeight="1" x14ac:dyDescent="0.15">
      <c r="A78" s="4" t="s">
        <v>396</v>
      </c>
      <c r="B78" s="4" t="s">
        <v>697</v>
      </c>
      <c r="C78" s="4" t="s">
        <v>649</v>
      </c>
      <c r="D78" s="22" t="s">
        <v>674</v>
      </c>
      <c r="E78" s="4" t="s">
        <v>504</v>
      </c>
      <c r="F78" s="4" t="s">
        <v>14</v>
      </c>
      <c r="G78" s="4" t="s">
        <v>17</v>
      </c>
      <c r="H78" s="23">
        <v>2.19</v>
      </c>
      <c r="I78" s="4">
        <v>2028</v>
      </c>
      <c r="J78" s="4" t="s">
        <v>560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23"/>
      <c r="Y78" s="4"/>
      <c r="Z78" s="4"/>
      <c r="AA78" s="4"/>
      <c r="AB78" s="4"/>
      <c r="AC78" s="4"/>
      <c r="AD78" s="4"/>
      <c r="AE78" s="4"/>
    </row>
    <row r="79" spans="1:31" ht="15.75" customHeight="1" x14ac:dyDescent="0.15">
      <c r="A79" s="4" t="s">
        <v>396</v>
      </c>
      <c r="B79" s="4" t="s">
        <v>698</v>
      </c>
      <c r="C79" s="4" t="s">
        <v>649</v>
      </c>
      <c r="D79" s="22" t="s">
        <v>674</v>
      </c>
      <c r="E79" s="4" t="s">
        <v>607</v>
      </c>
      <c r="F79" s="4" t="s">
        <v>14</v>
      </c>
      <c r="G79" s="4" t="s">
        <v>17</v>
      </c>
      <c r="H79" s="23">
        <v>2.0699999999999998</v>
      </c>
      <c r="I79" s="4">
        <v>2027</v>
      </c>
      <c r="J79" s="4" t="s">
        <v>560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23"/>
      <c r="Y79" s="4"/>
      <c r="Z79" s="4"/>
      <c r="AA79" s="4"/>
      <c r="AB79" s="4"/>
      <c r="AC79" s="4"/>
      <c r="AD79" s="4"/>
      <c r="AE79" s="4"/>
    </row>
    <row r="80" spans="1:31" ht="15.75" customHeight="1" x14ac:dyDescent="0.15">
      <c r="A80" s="4" t="s">
        <v>396</v>
      </c>
      <c r="B80" s="4" t="s">
        <v>699</v>
      </c>
      <c r="C80" s="4" t="s">
        <v>649</v>
      </c>
      <c r="D80" s="22" t="s">
        <v>674</v>
      </c>
      <c r="E80" s="4" t="s">
        <v>607</v>
      </c>
      <c r="F80" s="4" t="s">
        <v>14</v>
      </c>
      <c r="G80" s="4" t="s">
        <v>17</v>
      </c>
      <c r="H80" s="23">
        <v>0.82699999999999996</v>
      </c>
      <c r="I80" s="4">
        <v>2027</v>
      </c>
      <c r="J80" s="4" t="s">
        <v>560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23"/>
      <c r="Y80" s="4"/>
      <c r="Z80" s="4"/>
      <c r="AA80" s="4"/>
      <c r="AB80" s="4"/>
      <c r="AC80" s="4"/>
      <c r="AD80" s="4"/>
      <c r="AE80" s="4"/>
    </row>
    <row r="81" spans="1:31" ht="15.75" customHeight="1" x14ac:dyDescent="0.15">
      <c r="A81" s="4" t="s">
        <v>396</v>
      </c>
      <c r="B81" s="4" t="s">
        <v>700</v>
      </c>
      <c r="C81" s="4" t="s">
        <v>649</v>
      </c>
      <c r="D81" s="22" t="s">
        <v>674</v>
      </c>
      <c r="E81" s="4" t="s">
        <v>701</v>
      </c>
      <c r="F81" s="4" t="s">
        <v>14</v>
      </c>
      <c r="G81" s="4" t="s">
        <v>17</v>
      </c>
      <c r="H81" s="23">
        <v>2.14</v>
      </c>
      <c r="I81" s="4">
        <v>2027</v>
      </c>
      <c r="J81" s="4" t="s">
        <v>539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23"/>
      <c r="Y81" s="4"/>
      <c r="Z81" s="4"/>
      <c r="AA81" s="4"/>
      <c r="AB81" s="4"/>
      <c r="AC81" s="4"/>
      <c r="AD81" s="4"/>
      <c r="AE81" s="4"/>
    </row>
    <row r="82" spans="1:31" ht="15.75" customHeight="1" x14ac:dyDescent="0.15">
      <c r="A82" s="4" t="s">
        <v>396</v>
      </c>
      <c r="B82" s="4" t="s">
        <v>702</v>
      </c>
      <c r="C82" s="4" t="s">
        <v>649</v>
      </c>
      <c r="D82" s="22" t="s">
        <v>674</v>
      </c>
      <c r="E82" s="4" t="s">
        <v>701</v>
      </c>
      <c r="F82" s="4" t="s">
        <v>14</v>
      </c>
      <c r="G82" s="4" t="s">
        <v>17</v>
      </c>
      <c r="H82" s="23">
        <v>1.82</v>
      </c>
      <c r="I82" s="4">
        <v>2027</v>
      </c>
      <c r="J82" s="4" t="s">
        <v>539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23"/>
      <c r="Y82" s="4"/>
      <c r="Z82" s="4"/>
      <c r="AA82" s="4"/>
      <c r="AB82" s="4"/>
      <c r="AC82" s="4"/>
      <c r="AD82" s="4"/>
      <c r="AE82" s="4"/>
    </row>
    <row r="83" spans="1:31" ht="15.75" customHeight="1" x14ac:dyDescent="0.15">
      <c r="A83" s="4" t="s">
        <v>396</v>
      </c>
      <c r="B83" s="4" t="s">
        <v>703</v>
      </c>
      <c r="C83" s="4" t="s">
        <v>704</v>
      </c>
      <c r="D83" s="22" t="s">
        <v>674</v>
      </c>
      <c r="E83" s="4" t="s">
        <v>607</v>
      </c>
      <c r="F83" s="4" t="s">
        <v>14</v>
      </c>
      <c r="G83" s="4" t="s">
        <v>17</v>
      </c>
      <c r="H83" s="23">
        <v>2.02</v>
      </c>
      <c r="I83" s="4">
        <v>2027</v>
      </c>
      <c r="J83" s="4" t="s">
        <v>539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23"/>
      <c r="Y83" s="4"/>
      <c r="Z83" s="4"/>
      <c r="AA83" s="4"/>
      <c r="AB83" s="4"/>
      <c r="AC83" s="4"/>
      <c r="AD83" s="4"/>
      <c r="AE83" s="4"/>
    </row>
    <row r="84" spans="1:31" ht="15.75" customHeight="1" x14ac:dyDescent="0.15">
      <c r="A84" s="7" t="s">
        <v>396</v>
      </c>
      <c r="B84" s="7" t="s">
        <v>705</v>
      </c>
      <c r="C84" s="7" t="s">
        <v>614</v>
      </c>
      <c r="D84" s="28" t="s">
        <v>674</v>
      </c>
      <c r="E84" s="7" t="s">
        <v>504</v>
      </c>
      <c r="F84" s="4" t="s">
        <v>14</v>
      </c>
      <c r="G84" s="4" t="s">
        <v>17</v>
      </c>
      <c r="H84" s="4">
        <v>2.25</v>
      </c>
      <c r="I84" s="4">
        <v>2027</v>
      </c>
      <c r="J84" s="7" t="s">
        <v>560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23"/>
      <c r="Y84" s="4"/>
      <c r="Z84" s="4"/>
      <c r="AA84" s="4"/>
      <c r="AB84" s="4"/>
      <c r="AC84" s="4"/>
      <c r="AD84" s="4"/>
      <c r="AE84" s="4"/>
    </row>
    <row r="85" spans="1:31" ht="15.75" customHeight="1" x14ac:dyDescent="0.15">
      <c r="A85" s="4" t="s">
        <v>706</v>
      </c>
      <c r="B85" s="4" t="s">
        <v>707</v>
      </c>
      <c r="C85" s="4" t="s">
        <v>708</v>
      </c>
      <c r="D85" s="22" t="s">
        <v>709</v>
      </c>
      <c r="E85" s="4" t="s">
        <v>325</v>
      </c>
      <c r="F85" s="4" t="s">
        <v>14</v>
      </c>
      <c r="G85" s="4" t="s">
        <v>17</v>
      </c>
      <c r="H85" s="23">
        <v>2.4500000000000002</v>
      </c>
      <c r="I85" s="4">
        <v>2026</v>
      </c>
      <c r="J85" s="4" t="s">
        <v>710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23"/>
      <c r="Y85" s="4"/>
      <c r="Z85" s="4"/>
      <c r="AA85" s="4"/>
      <c r="AB85" s="4"/>
      <c r="AC85" s="4"/>
      <c r="AD85" s="4"/>
      <c r="AE85" s="4"/>
    </row>
    <row r="86" spans="1:31" ht="15.75" customHeight="1" x14ac:dyDescent="0.15">
      <c r="A86" s="4" t="s">
        <v>706</v>
      </c>
      <c r="B86" s="4" t="s">
        <v>711</v>
      </c>
      <c r="C86" s="4" t="s">
        <v>690</v>
      </c>
      <c r="D86" s="22" t="s">
        <v>712</v>
      </c>
      <c r="E86" s="4" t="s">
        <v>405</v>
      </c>
      <c r="F86" s="4" t="s">
        <v>14</v>
      </c>
      <c r="G86" s="4" t="s">
        <v>17</v>
      </c>
      <c r="H86" s="23">
        <v>4.6900000000000004</v>
      </c>
      <c r="I86" s="4">
        <v>2027</v>
      </c>
      <c r="J86" s="4" t="s">
        <v>713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23"/>
      <c r="Y86" s="4"/>
      <c r="Z86" s="4"/>
      <c r="AA86" s="4"/>
      <c r="AB86" s="4"/>
      <c r="AC86" s="4"/>
      <c r="AD86" s="4"/>
      <c r="AE86" s="4"/>
    </row>
    <row r="87" spans="1:31" ht="15.75" customHeight="1" x14ac:dyDescent="0.15">
      <c r="A87" s="4" t="s">
        <v>706</v>
      </c>
      <c r="B87" s="4" t="s">
        <v>714</v>
      </c>
      <c r="C87" s="4" t="s">
        <v>690</v>
      </c>
      <c r="D87" s="22" t="s">
        <v>715</v>
      </c>
      <c r="E87" s="4" t="s">
        <v>405</v>
      </c>
      <c r="F87" s="4" t="s">
        <v>14</v>
      </c>
      <c r="G87" s="4" t="s">
        <v>17</v>
      </c>
      <c r="H87" s="23">
        <v>3.63</v>
      </c>
      <c r="I87" s="4">
        <v>2027</v>
      </c>
      <c r="J87" s="4" t="s">
        <v>713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23"/>
      <c r="Y87" s="4"/>
      <c r="Z87" s="4"/>
      <c r="AA87" s="4"/>
      <c r="AB87" s="4"/>
      <c r="AC87" s="4"/>
      <c r="AD87" s="4"/>
      <c r="AE87" s="4"/>
    </row>
    <row r="88" spans="1:31" ht="15.75" customHeight="1" x14ac:dyDescent="0.15">
      <c r="A88" s="4" t="s">
        <v>706</v>
      </c>
      <c r="B88" s="4" t="s">
        <v>716</v>
      </c>
      <c r="C88" s="4" t="s">
        <v>673</v>
      </c>
      <c r="D88" s="22" t="s">
        <v>717</v>
      </c>
      <c r="E88" s="4" t="s">
        <v>607</v>
      </c>
      <c r="F88" s="4" t="s">
        <v>14</v>
      </c>
      <c r="G88" s="4" t="s">
        <v>17</v>
      </c>
      <c r="H88" s="23">
        <v>3.2</v>
      </c>
      <c r="I88" s="4">
        <v>2027</v>
      </c>
      <c r="J88" s="4" t="s">
        <v>560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23"/>
      <c r="Y88" s="4"/>
      <c r="Z88" s="4"/>
      <c r="AA88" s="4"/>
      <c r="AB88" s="4"/>
      <c r="AC88" s="4"/>
      <c r="AD88" s="4"/>
      <c r="AE88" s="4"/>
    </row>
    <row r="89" spans="1:31" ht="15.75" customHeight="1" x14ac:dyDescent="0.15">
      <c r="A89" s="4" t="s">
        <v>706</v>
      </c>
      <c r="B89" s="4" t="s">
        <v>718</v>
      </c>
      <c r="C89" s="4" t="s">
        <v>719</v>
      </c>
      <c r="D89" s="22" t="s">
        <v>720</v>
      </c>
      <c r="E89" s="4" t="s">
        <v>607</v>
      </c>
      <c r="F89" s="4" t="s">
        <v>14</v>
      </c>
      <c r="G89" s="4" t="s">
        <v>17</v>
      </c>
      <c r="H89" s="23">
        <v>2.95</v>
      </c>
      <c r="I89" s="4">
        <v>2027</v>
      </c>
      <c r="J89" s="4" t="s">
        <v>721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23"/>
      <c r="Y89" s="4"/>
      <c r="Z89" s="4"/>
      <c r="AA89" s="4"/>
      <c r="AB89" s="4"/>
      <c r="AC89" s="4"/>
      <c r="AD89" s="4"/>
      <c r="AE89" s="4"/>
    </row>
    <row r="90" spans="1:31" ht="15.75" customHeight="1" x14ac:dyDescent="0.15">
      <c r="A90" s="4" t="s">
        <v>706</v>
      </c>
      <c r="B90" s="4" t="s">
        <v>722</v>
      </c>
      <c r="C90" s="4" t="s">
        <v>723</v>
      </c>
      <c r="D90" s="22" t="s">
        <v>724</v>
      </c>
      <c r="E90" s="4" t="s">
        <v>245</v>
      </c>
      <c r="F90" s="4" t="s">
        <v>14</v>
      </c>
      <c r="G90" s="4" t="s">
        <v>17</v>
      </c>
      <c r="H90" s="23">
        <v>2.9</v>
      </c>
      <c r="I90" s="4">
        <v>2027</v>
      </c>
      <c r="J90" s="4" t="s">
        <v>560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23"/>
      <c r="Y90" s="4"/>
      <c r="Z90" s="4"/>
      <c r="AA90" s="4"/>
      <c r="AB90" s="4"/>
      <c r="AC90" s="4"/>
      <c r="AD90" s="4"/>
      <c r="AE90" s="4"/>
    </row>
    <row r="91" spans="1:31" ht="15.75" customHeight="1" x14ac:dyDescent="0.15">
      <c r="A91" s="4" t="s">
        <v>706</v>
      </c>
      <c r="B91" s="7" t="s">
        <v>725</v>
      </c>
      <c r="C91" s="4" t="s">
        <v>723</v>
      </c>
      <c r="D91" s="28" t="s">
        <v>726</v>
      </c>
      <c r="E91" s="7" t="s">
        <v>245</v>
      </c>
      <c r="F91" s="4" t="s">
        <v>14</v>
      </c>
      <c r="G91" s="4" t="s">
        <v>17</v>
      </c>
      <c r="H91" s="23">
        <v>8.8800000000000008</v>
      </c>
      <c r="I91" s="4">
        <v>2026</v>
      </c>
      <c r="J91" s="4" t="s">
        <v>505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23"/>
      <c r="Y91" s="4"/>
      <c r="Z91" s="4"/>
      <c r="AA91" s="4"/>
      <c r="AB91" s="4"/>
      <c r="AC91" s="4"/>
      <c r="AD91" s="4"/>
      <c r="AE91" s="4"/>
    </row>
    <row r="92" spans="1:31" ht="15.75" customHeight="1" x14ac:dyDescent="0.15">
      <c r="A92" s="4" t="s">
        <v>706</v>
      </c>
      <c r="B92" s="7" t="s">
        <v>725</v>
      </c>
      <c r="C92" s="4" t="s">
        <v>723</v>
      </c>
      <c r="D92" s="28" t="s">
        <v>726</v>
      </c>
      <c r="E92" s="7" t="s">
        <v>245</v>
      </c>
      <c r="F92" s="4" t="s">
        <v>14</v>
      </c>
      <c r="G92" s="4" t="s">
        <v>17</v>
      </c>
      <c r="H92" s="23">
        <v>12.9</v>
      </c>
      <c r="I92" s="4">
        <v>2026</v>
      </c>
      <c r="J92" s="4" t="s">
        <v>505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23"/>
      <c r="Y92" s="4"/>
      <c r="Z92" s="4"/>
      <c r="AA92" s="4"/>
      <c r="AB92" s="4"/>
      <c r="AC92" s="4"/>
      <c r="AD92" s="4"/>
      <c r="AE92" s="4"/>
    </row>
    <row r="93" spans="1:31" ht="15.75" customHeight="1" x14ac:dyDescent="0.15">
      <c r="A93" s="4" t="s">
        <v>706</v>
      </c>
      <c r="B93" s="7" t="s">
        <v>725</v>
      </c>
      <c r="C93" s="4" t="s">
        <v>723</v>
      </c>
      <c r="D93" s="28" t="s">
        <v>726</v>
      </c>
      <c r="E93" s="7" t="s">
        <v>245</v>
      </c>
      <c r="F93" s="4" t="s">
        <v>14</v>
      </c>
      <c r="G93" s="4" t="s">
        <v>17</v>
      </c>
      <c r="H93" s="23">
        <v>9.11</v>
      </c>
      <c r="I93" s="4">
        <v>2026</v>
      </c>
      <c r="J93" s="4" t="s">
        <v>505</v>
      </c>
      <c r="K93" s="4"/>
      <c r="L93" s="4"/>
      <c r="M93" s="4"/>
      <c r="N93" s="4"/>
      <c r="O93" s="4"/>
      <c r="P93" s="4"/>
      <c r="Q93" s="7"/>
      <c r="R93" s="7"/>
      <c r="S93" s="7"/>
      <c r="T93" s="7"/>
      <c r="U93" s="7"/>
      <c r="V93" s="4"/>
      <c r="W93" s="4"/>
      <c r="X93" s="23"/>
      <c r="Y93" s="4"/>
      <c r="Z93" s="4"/>
      <c r="AA93" s="4"/>
      <c r="AB93" s="4"/>
      <c r="AC93" s="4"/>
      <c r="AD93" s="4"/>
      <c r="AE93" s="4"/>
    </row>
    <row r="94" spans="1:31" ht="15.75" customHeight="1" x14ac:dyDescent="0.15">
      <c r="A94" s="4" t="s">
        <v>706</v>
      </c>
      <c r="B94" s="7" t="s">
        <v>725</v>
      </c>
      <c r="C94" s="4" t="s">
        <v>723</v>
      </c>
      <c r="D94" s="28" t="s">
        <v>726</v>
      </c>
      <c r="E94" s="7" t="s">
        <v>245</v>
      </c>
      <c r="F94" s="4" t="s">
        <v>14</v>
      </c>
      <c r="G94" s="4" t="s">
        <v>17</v>
      </c>
      <c r="H94" s="23">
        <v>4.7300000000000004</v>
      </c>
      <c r="I94" s="4">
        <v>2026</v>
      </c>
      <c r="J94" s="4" t="s">
        <v>505</v>
      </c>
      <c r="K94" s="4"/>
      <c r="L94" s="4"/>
      <c r="M94" s="4"/>
      <c r="N94" s="4"/>
      <c r="O94" s="4"/>
      <c r="P94" s="4"/>
      <c r="Q94" s="7"/>
      <c r="R94" s="7"/>
      <c r="S94" s="7"/>
      <c r="T94" s="7"/>
      <c r="U94" s="7"/>
      <c r="V94" s="4"/>
      <c r="W94" s="4"/>
      <c r="X94" s="23"/>
      <c r="Y94" s="4"/>
      <c r="Z94" s="4"/>
      <c r="AA94" s="4"/>
      <c r="AB94" s="4"/>
      <c r="AC94" s="4"/>
      <c r="AD94" s="4"/>
      <c r="AE94" s="4"/>
    </row>
    <row r="95" spans="1:31" ht="15.75" customHeight="1" x14ac:dyDescent="0.15">
      <c r="A95" s="4" t="s">
        <v>706</v>
      </c>
      <c r="B95" s="7" t="s">
        <v>725</v>
      </c>
      <c r="C95" s="4" t="s">
        <v>723</v>
      </c>
      <c r="D95" s="28" t="s">
        <v>726</v>
      </c>
      <c r="E95" s="7" t="s">
        <v>245</v>
      </c>
      <c r="F95" s="4" t="s">
        <v>14</v>
      </c>
      <c r="G95" s="4" t="s">
        <v>17</v>
      </c>
      <c r="H95" s="23">
        <v>9.61</v>
      </c>
      <c r="I95" s="4">
        <v>2026</v>
      </c>
      <c r="J95" s="4" t="s">
        <v>505</v>
      </c>
      <c r="K95" s="4"/>
      <c r="L95" s="4"/>
      <c r="M95" s="4"/>
      <c r="N95" s="4"/>
      <c r="O95" s="4"/>
      <c r="P95" s="4"/>
      <c r="Q95" s="7"/>
      <c r="R95" s="7"/>
      <c r="S95" s="7"/>
      <c r="T95" s="7"/>
      <c r="U95" s="7"/>
      <c r="V95" s="4"/>
      <c r="W95" s="4"/>
      <c r="X95" s="23"/>
      <c r="Y95" s="4"/>
      <c r="Z95" s="4"/>
      <c r="AC95" s="4"/>
      <c r="AD95" s="4"/>
      <c r="AE95" s="4"/>
    </row>
    <row r="96" spans="1:31" ht="15.75" customHeight="1" x14ac:dyDescent="0.15">
      <c r="A96" s="4" t="s">
        <v>706</v>
      </c>
      <c r="B96" s="7" t="s">
        <v>725</v>
      </c>
      <c r="C96" s="4" t="s">
        <v>723</v>
      </c>
      <c r="D96" s="28" t="s">
        <v>726</v>
      </c>
      <c r="E96" s="7" t="s">
        <v>245</v>
      </c>
      <c r="F96" s="4" t="s">
        <v>14</v>
      </c>
      <c r="G96" s="4" t="s">
        <v>17</v>
      </c>
      <c r="H96" s="23">
        <v>11.2</v>
      </c>
      <c r="I96" s="4">
        <v>2026</v>
      </c>
      <c r="J96" s="4" t="s">
        <v>505</v>
      </c>
      <c r="K96" s="4"/>
      <c r="L96" s="4"/>
      <c r="M96" s="4"/>
      <c r="N96" s="4"/>
      <c r="O96" s="4"/>
      <c r="P96" s="4"/>
      <c r="Q96" s="7"/>
      <c r="R96" s="7"/>
      <c r="S96" s="7"/>
      <c r="T96" s="7"/>
      <c r="U96" s="7"/>
      <c r="V96" s="4"/>
      <c r="W96" s="4"/>
      <c r="X96" s="23"/>
      <c r="Y96" s="4"/>
      <c r="Z96" s="4"/>
      <c r="AA96" s="4"/>
      <c r="AB96" s="4"/>
      <c r="AC96" s="4"/>
      <c r="AD96" s="4"/>
      <c r="AE96" s="4"/>
    </row>
    <row r="97" spans="1:31" ht="15.75" customHeight="1" x14ac:dyDescent="0.15">
      <c r="A97" s="4" t="s">
        <v>706</v>
      </c>
      <c r="B97" s="7" t="s">
        <v>725</v>
      </c>
      <c r="C97" s="4" t="s">
        <v>723</v>
      </c>
      <c r="D97" s="28" t="s">
        <v>726</v>
      </c>
      <c r="E97" s="7" t="s">
        <v>245</v>
      </c>
      <c r="F97" s="4" t="s">
        <v>14</v>
      </c>
      <c r="G97" s="4" t="s">
        <v>17</v>
      </c>
      <c r="H97" s="23">
        <v>10.6</v>
      </c>
      <c r="I97" s="4">
        <v>2026</v>
      </c>
      <c r="J97" s="4" t="s">
        <v>505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23"/>
      <c r="Y97" s="4"/>
      <c r="Z97" s="4"/>
      <c r="AA97" s="4"/>
      <c r="AB97" s="4"/>
      <c r="AC97" s="4"/>
      <c r="AD97" s="4"/>
      <c r="AE97" s="4"/>
    </row>
    <row r="98" spans="1:31" ht="15.75" customHeight="1" x14ac:dyDescent="0.15">
      <c r="A98" s="4" t="s">
        <v>706</v>
      </c>
      <c r="B98" s="7" t="s">
        <v>725</v>
      </c>
      <c r="C98" s="4" t="s">
        <v>723</v>
      </c>
      <c r="D98" s="28" t="s">
        <v>726</v>
      </c>
      <c r="E98" s="7" t="s">
        <v>245</v>
      </c>
      <c r="F98" s="4" t="s">
        <v>14</v>
      </c>
      <c r="G98" s="4" t="s">
        <v>17</v>
      </c>
      <c r="H98" s="23">
        <v>11.8</v>
      </c>
      <c r="I98" s="4">
        <v>2026</v>
      </c>
      <c r="J98" s="4" t="s">
        <v>505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23"/>
      <c r="Y98" s="4"/>
      <c r="Z98" s="4"/>
      <c r="AA98" s="4"/>
      <c r="AB98" s="4"/>
      <c r="AC98" s="4"/>
      <c r="AD98" s="4"/>
      <c r="AE98" s="4"/>
    </row>
    <row r="99" spans="1:31" ht="15.75" customHeight="1" x14ac:dyDescent="0.15">
      <c r="A99" s="4" t="s">
        <v>706</v>
      </c>
      <c r="B99" s="7" t="s">
        <v>727</v>
      </c>
      <c r="C99" s="7" t="s">
        <v>728</v>
      </c>
      <c r="D99" s="28" t="s">
        <v>729</v>
      </c>
      <c r="E99" s="4" t="s">
        <v>369</v>
      </c>
      <c r="F99" s="4" t="s">
        <v>14</v>
      </c>
      <c r="G99" s="4" t="s">
        <v>17</v>
      </c>
      <c r="H99" s="23">
        <f>1650/1000</f>
        <v>1.65</v>
      </c>
      <c r="I99" s="4">
        <v>2026</v>
      </c>
      <c r="J99" s="4" t="s">
        <v>571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23"/>
      <c r="Y99" s="4"/>
      <c r="Z99" s="4"/>
      <c r="AA99" s="4"/>
      <c r="AB99" s="4"/>
      <c r="AC99" s="4"/>
      <c r="AD99" s="4"/>
      <c r="AE99" s="4"/>
    </row>
    <row r="100" spans="1:31" ht="15.75" customHeight="1" x14ac:dyDescent="0.15">
      <c r="A100" s="4" t="s">
        <v>706</v>
      </c>
      <c r="B100" s="4" t="s">
        <v>730</v>
      </c>
      <c r="C100" s="4" t="s">
        <v>614</v>
      </c>
      <c r="D100" s="22" t="s">
        <v>731</v>
      </c>
      <c r="E100" s="4" t="s">
        <v>245</v>
      </c>
      <c r="F100" s="4" t="s">
        <v>14</v>
      </c>
      <c r="G100" s="4" t="s">
        <v>17</v>
      </c>
      <c r="H100" s="23">
        <v>2.74</v>
      </c>
      <c r="I100" s="4">
        <v>2024</v>
      </c>
      <c r="J100" s="4" t="s">
        <v>560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23"/>
      <c r="Y100" s="4"/>
      <c r="Z100" s="4"/>
      <c r="AA100" s="4"/>
      <c r="AB100" s="4"/>
      <c r="AC100" s="4"/>
      <c r="AD100" s="4"/>
      <c r="AE100" s="4"/>
    </row>
    <row r="101" spans="1:31" ht="15.75" customHeight="1" x14ac:dyDescent="0.15">
      <c r="A101" s="4" t="s">
        <v>480</v>
      </c>
      <c r="B101" s="4" t="s">
        <v>732</v>
      </c>
      <c r="C101" s="4" t="s">
        <v>733</v>
      </c>
      <c r="D101" s="22" t="s">
        <v>482</v>
      </c>
      <c r="E101" s="4" t="s">
        <v>483</v>
      </c>
      <c r="F101" s="4" t="s">
        <v>14</v>
      </c>
      <c r="G101" s="4" t="s">
        <v>17</v>
      </c>
      <c r="H101" s="23">
        <f>9.12/3.68</f>
        <v>2.4782608695652169</v>
      </c>
      <c r="I101" s="4">
        <v>2025</v>
      </c>
      <c r="J101" s="38" t="s">
        <v>539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23"/>
      <c r="Y101" s="4"/>
      <c r="Z101" s="4"/>
      <c r="AA101" s="4"/>
      <c r="AB101" s="4"/>
      <c r="AC101" s="4"/>
      <c r="AD101" s="4"/>
      <c r="AE101" s="4"/>
    </row>
    <row r="102" spans="1:31" ht="15.75" customHeight="1" x14ac:dyDescent="0.15">
      <c r="A102" s="4" t="s">
        <v>480</v>
      </c>
      <c r="B102" s="4" t="s">
        <v>734</v>
      </c>
      <c r="C102" s="4" t="s">
        <v>733</v>
      </c>
      <c r="D102" s="22" t="s">
        <v>735</v>
      </c>
      <c r="E102" s="4" t="s">
        <v>483</v>
      </c>
      <c r="F102" s="4" t="s">
        <v>14</v>
      </c>
      <c r="G102" s="4" t="s">
        <v>17</v>
      </c>
      <c r="H102" s="23">
        <f>103.46/58.2</f>
        <v>1.7776632302405497</v>
      </c>
      <c r="I102" s="4">
        <v>2028</v>
      </c>
      <c r="J102" s="38" t="s">
        <v>539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23"/>
      <c r="Y102" s="4"/>
      <c r="Z102" s="4"/>
      <c r="AA102" s="4"/>
      <c r="AB102" s="4"/>
      <c r="AC102" s="4"/>
      <c r="AD102" s="4"/>
      <c r="AE102" s="4"/>
    </row>
    <row r="103" spans="1:31" ht="15.75" customHeight="1" x14ac:dyDescent="0.15">
      <c r="A103" s="4" t="s">
        <v>480</v>
      </c>
      <c r="B103" s="4" t="s">
        <v>736</v>
      </c>
      <c r="C103" s="4" t="s">
        <v>733</v>
      </c>
      <c r="D103" s="22" t="s">
        <v>735</v>
      </c>
      <c r="E103" s="4" t="s">
        <v>483</v>
      </c>
      <c r="F103" s="4" t="s">
        <v>14</v>
      </c>
      <c r="G103" s="4" t="s">
        <v>17</v>
      </c>
      <c r="H103" s="23">
        <f>136/75.9</f>
        <v>1.7918313570487483</v>
      </c>
      <c r="I103" s="4">
        <v>2028</v>
      </c>
      <c r="J103" s="38" t="s">
        <v>539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23"/>
      <c r="Y103" s="4"/>
      <c r="Z103" s="4"/>
      <c r="AA103" s="4"/>
      <c r="AB103" s="4"/>
      <c r="AC103" s="4"/>
      <c r="AD103" s="4"/>
      <c r="AE103" s="4"/>
    </row>
    <row r="104" spans="1:31" ht="15.75" customHeight="1" x14ac:dyDescent="0.15">
      <c r="A104" s="4" t="s">
        <v>480</v>
      </c>
      <c r="B104" s="4" t="s">
        <v>737</v>
      </c>
      <c r="C104" s="4" t="s">
        <v>733</v>
      </c>
      <c r="D104" s="22" t="s">
        <v>735</v>
      </c>
      <c r="E104" s="4" t="s">
        <v>483</v>
      </c>
      <c r="F104" s="4" t="s">
        <v>14</v>
      </c>
      <c r="G104" s="4" t="s">
        <v>17</v>
      </c>
      <c r="H104" s="23">
        <f>3.97/4.67</f>
        <v>0.85010706638115641</v>
      </c>
      <c r="I104" s="4">
        <v>2028</v>
      </c>
      <c r="J104" s="38" t="s">
        <v>539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23"/>
      <c r="Y104" s="4"/>
      <c r="Z104" s="4"/>
      <c r="AA104" s="4"/>
      <c r="AB104" s="4"/>
      <c r="AC104" s="4"/>
      <c r="AD104" s="4"/>
      <c r="AE104" s="4"/>
    </row>
    <row r="105" spans="1:31" ht="15.75" customHeight="1" x14ac:dyDescent="0.15">
      <c r="A105" s="4" t="s">
        <v>480</v>
      </c>
      <c r="B105" s="4" t="s">
        <v>738</v>
      </c>
      <c r="C105" s="4" t="s">
        <v>733</v>
      </c>
      <c r="D105" s="22" t="s">
        <v>735</v>
      </c>
      <c r="E105" s="4" t="s">
        <v>483</v>
      </c>
      <c r="F105" s="4" t="s">
        <v>14</v>
      </c>
      <c r="G105" s="4" t="s">
        <v>17</v>
      </c>
      <c r="H105" s="23">
        <f>9.33/8.44</f>
        <v>1.1054502369668247</v>
      </c>
      <c r="I105" s="4">
        <v>2028</v>
      </c>
      <c r="J105" s="38" t="s">
        <v>539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23"/>
      <c r="Y105" s="4"/>
      <c r="Z105" s="4"/>
      <c r="AA105" s="4"/>
      <c r="AB105" s="4"/>
      <c r="AC105" s="4"/>
      <c r="AD105" s="4"/>
      <c r="AE105" s="4"/>
    </row>
    <row r="106" spans="1:31" ht="15.75" customHeight="1" x14ac:dyDescent="0.15">
      <c r="A106" s="4" t="s">
        <v>480</v>
      </c>
      <c r="B106" s="4" t="s">
        <v>739</v>
      </c>
      <c r="C106" s="4" t="s">
        <v>733</v>
      </c>
      <c r="D106" s="22" t="s">
        <v>735</v>
      </c>
      <c r="E106" s="4" t="s">
        <v>483</v>
      </c>
      <c r="F106" s="4" t="s">
        <v>14</v>
      </c>
      <c r="G106" s="4" t="s">
        <v>17</v>
      </c>
      <c r="H106" s="23">
        <f>14.9/14.3</f>
        <v>1.0419580419580419</v>
      </c>
      <c r="I106" s="4">
        <v>2028</v>
      </c>
      <c r="J106" s="38" t="s">
        <v>539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23"/>
      <c r="Y106" s="4"/>
      <c r="Z106" s="4"/>
      <c r="AA106" s="4"/>
      <c r="AB106" s="4"/>
      <c r="AC106" s="4"/>
      <c r="AD106" s="4"/>
      <c r="AE106" s="4"/>
    </row>
    <row r="107" spans="1:31" ht="15.75" customHeight="1" x14ac:dyDescent="0.15">
      <c r="A107" s="4" t="s">
        <v>480</v>
      </c>
      <c r="B107" s="4" t="s">
        <v>740</v>
      </c>
      <c r="C107" s="4" t="s">
        <v>733</v>
      </c>
      <c r="D107" s="22" t="s">
        <v>735</v>
      </c>
      <c r="E107" s="4" t="s">
        <v>483</v>
      </c>
      <c r="F107" s="4" t="s">
        <v>14</v>
      </c>
      <c r="G107" s="4" t="s">
        <v>17</v>
      </c>
      <c r="H107" s="23">
        <f>23.6/19.1</f>
        <v>1.2356020942408377</v>
      </c>
      <c r="I107" s="4">
        <v>2028</v>
      </c>
      <c r="J107" s="38" t="s">
        <v>539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23"/>
      <c r="Y107" s="4"/>
      <c r="Z107" s="4"/>
      <c r="AA107" s="4"/>
      <c r="AB107" s="4"/>
      <c r="AC107" s="4"/>
      <c r="AD107" s="4"/>
      <c r="AE107" s="4"/>
    </row>
    <row r="108" spans="1:31" ht="15.75" customHeight="1" x14ac:dyDescent="0.15">
      <c r="A108" s="4" t="s">
        <v>480</v>
      </c>
      <c r="B108" s="4" t="s">
        <v>741</v>
      </c>
      <c r="C108" s="4" t="s">
        <v>733</v>
      </c>
      <c r="D108" s="22" t="s">
        <v>482</v>
      </c>
      <c r="E108" s="4" t="s">
        <v>483</v>
      </c>
      <c r="F108" s="4" t="s">
        <v>14</v>
      </c>
      <c r="G108" s="4" t="s">
        <v>17</v>
      </c>
      <c r="H108" s="23">
        <f>47.4/33.7</f>
        <v>1.4065281899109792</v>
      </c>
      <c r="I108" s="4">
        <v>2028</v>
      </c>
      <c r="J108" s="38" t="s">
        <v>539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23"/>
      <c r="Y108" s="4"/>
      <c r="Z108" s="4"/>
      <c r="AA108" s="4"/>
      <c r="AB108" s="4"/>
      <c r="AC108" s="4"/>
      <c r="AD108" s="4"/>
      <c r="AE108" s="4"/>
    </row>
    <row r="109" spans="1:31" ht="15.75" customHeight="1" x14ac:dyDescent="0.15">
      <c r="A109" s="4" t="s">
        <v>480</v>
      </c>
      <c r="B109" s="4" t="s">
        <v>742</v>
      </c>
      <c r="C109" s="4" t="s">
        <v>733</v>
      </c>
      <c r="D109" s="22" t="s">
        <v>735</v>
      </c>
      <c r="E109" s="4" t="s">
        <v>483</v>
      </c>
      <c r="F109" s="4" t="s">
        <v>14</v>
      </c>
      <c r="G109" s="4" t="s">
        <v>17</v>
      </c>
      <c r="H109" s="23">
        <f>5.77/2.63</f>
        <v>2.1939163498098857</v>
      </c>
      <c r="I109" s="4">
        <v>2025</v>
      </c>
      <c r="J109" s="4" t="s">
        <v>553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23"/>
      <c r="Y109" s="4"/>
      <c r="Z109" s="4"/>
      <c r="AA109" s="4"/>
      <c r="AB109" s="4"/>
      <c r="AC109" s="4"/>
      <c r="AD109" s="4"/>
      <c r="AE109" s="4"/>
    </row>
    <row r="110" spans="1:31" ht="15.75" customHeight="1" x14ac:dyDescent="0.15">
      <c r="A110" s="4" t="s">
        <v>480</v>
      </c>
      <c r="B110" s="4" t="s">
        <v>743</v>
      </c>
      <c r="C110" s="4" t="s">
        <v>733</v>
      </c>
      <c r="D110" s="22" t="s">
        <v>482</v>
      </c>
      <c r="E110" s="4" t="s">
        <v>483</v>
      </c>
      <c r="F110" s="4" t="s">
        <v>14</v>
      </c>
      <c r="G110" s="4" t="s">
        <v>17</v>
      </c>
      <c r="H110" s="23">
        <f>7.28/5.34</f>
        <v>1.3632958801498127</v>
      </c>
      <c r="I110" s="4">
        <v>2025</v>
      </c>
      <c r="J110" s="4" t="s">
        <v>553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23"/>
      <c r="Y110" s="4"/>
      <c r="Z110" s="4"/>
      <c r="AA110" s="4"/>
      <c r="AB110" s="4"/>
      <c r="AC110" s="4"/>
      <c r="AD110" s="4"/>
      <c r="AE110" s="4"/>
    </row>
    <row r="111" spans="1:31" ht="15.75" customHeight="1" x14ac:dyDescent="0.15">
      <c r="A111" s="4" t="s">
        <v>480</v>
      </c>
      <c r="B111" s="8" t="s">
        <v>744</v>
      </c>
      <c r="C111" s="4" t="s">
        <v>733</v>
      </c>
      <c r="D111" s="22" t="s">
        <v>482</v>
      </c>
      <c r="E111" s="4" t="s">
        <v>483</v>
      </c>
      <c r="F111" s="4" t="s">
        <v>14</v>
      </c>
      <c r="G111" s="4" t="s">
        <v>17</v>
      </c>
      <c r="H111" s="23">
        <f>3.5/1.59</f>
        <v>2.2012578616352201</v>
      </c>
      <c r="I111" s="4">
        <v>2025</v>
      </c>
      <c r="J111" s="4" t="s">
        <v>553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23"/>
      <c r="Y111" s="4"/>
      <c r="Z111" s="4"/>
      <c r="AA111" s="4"/>
      <c r="AB111" s="4"/>
      <c r="AC111" s="4"/>
      <c r="AD111" s="4"/>
      <c r="AE111" s="4"/>
    </row>
    <row r="112" spans="1:31" ht="15.75" customHeight="1" x14ac:dyDescent="0.15">
      <c r="A112" s="4" t="s">
        <v>480</v>
      </c>
      <c r="B112" s="7" t="s">
        <v>745</v>
      </c>
      <c r="C112" s="4" t="s">
        <v>733</v>
      </c>
      <c r="D112" s="22" t="s">
        <v>482</v>
      </c>
      <c r="E112" s="4" t="s">
        <v>483</v>
      </c>
      <c r="F112" s="4" t="s">
        <v>14</v>
      </c>
      <c r="G112" s="4" t="s">
        <v>17</v>
      </c>
      <c r="H112" s="23">
        <f>2.79/1.81</f>
        <v>1.5414364640883977</v>
      </c>
      <c r="I112" s="4">
        <v>2025</v>
      </c>
      <c r="J112" s="4" t="s">
        <v>553</v>
      </c>
      <c r="K112" s="4"/>
      <c r="L112" s="4"/>
      <c r="M112" s="4"/>
      <c r="N112" s="4"/>
      <c r="O112" s="4"/>
      <c r="P112" s="4"/>
      <c r="Q112" s="4"/>
      <c r="R112" s="19"/>
      <c r="S112" s="4"/>
      <c r="T112" s="4"/>
      <c r="U112" s="4"/>
      <c r="V112" s="4"/>
      <c r="W112" s="4"/>
      <c r="X112" s="23"/>
      <c r="Y112" s="4"/>
      <c r="Z112" s="4"/>
      <c r="AA112" s="4"/>
      <c r="AB112" s="4"/>
      <c r="AC112" s="4"/>
      <c r="AD112" s="4"/>
      <c r="AE112" s="4"/>
    </row>
    <row r="113" spans="1:31" ht="15.75" customHeight="1" x14ac:dyDescent="0.15">
      <c r="A113" s="4" t="s">
        <v>480</v>
      </c>
      <c r="B113" s="4" t="s">
        <v>746</v>
      </c>
      <c r="C113" s="4" t="s">
        <v>733</v>
      </c>
      <c r="D113" s="22" t="s">
        <v>482</v>
      </c>
      <c r="E113" s="4" t="s">
        <v>483</v>
      </c>
      <c r="F113" s="4" t="s">
        <v>14</v>
      </c>
      <c r="G113" s="4" t="s">
        <v>17</v>
      </c>
      <c r="H113" s="23">
        <f>11.6/10.9</f>
        <v>1.0642201834862384</v>
      </c>
      <c r="I113" s="4">
        <v>2024</v>
      </c>
      <c r="J113" s="4" t="s">
        <v>553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23"/>
      <c r="Y113" s="4"/>
      <c r="Z113" s="4"/>
      <c r="AA113" s="4"/>
      <c r="AB113" s="4"/>
      <c r="AC113" s="4"/>
      <c r="AD113" s="4"/>
      <c r="AE113" s="4"/>
    </row>
    <row r="114" spans="1:31" ht="15.75" customHeight="1" x14ac:dyDescent="0.15">
      <c r="A114" s="4" t="s">
        <v>480</v>
      </c>
      <c r="B114" s="4" t="s">
        <v>747</v>
      </c>
      <c r="C114" s="4" t="s">
        <v>733</v>
      </c>
      <c r="D114" s="22" t="s">
        <v>482</v>
      </c>
      <c r="E114" s="4" t="s">
        <v>483</v>
      </c>
      <c r="F114" s="4" t="s">
        <v>14</v>
      </c>
      <c r="G114" s="4" t="s">
        <v>17</v>
      </c>
      <c r="H114" s="23">
        <f>2.74/1.44</f>
        <v>1.9027777777777779</v>
      </c>
      <c r="I114" s="4">
        <v>2024</v>
      </c>
      <c r="J114" s="4" t="s">
        <v>553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23"/>
      <c r="Y114" s="4"/>
      <c r="Z114" s="4"/>
      <c r="AA114" s="4"/>
      <c r="AB114" s="4"/>
      <c r="AC114" s="4"/>
      <c r="AD114" s="4"/>
      <c r="AE114" s="4"/>
    </row>
    <row r="115" spans="1:31" ht="15.75" customHeight="1" x14ac:dyDescent="0.15">
      <c r="A115" s="4" t="s">
        <v>480</v>
      </c>
      <c r="B115" s="4" t="s">
        <v>748</v>
      </c>
      <c r="C115" s="4" t="s">
        <v>733</v>
      </c>
      <c r="D115" s="22" t="s">
        <v>482</v>
      </c>
      <c r="E115" s="4" t="s">
        <v>483</v>
      </c>
      <c r="F115" s="4" t="s">
        <v>14</v>
      </c>
      <c r="G115" s="4" t="s">
        <v>17</v>
      </c>
      <c r="H115" s="23">
        <f>6.6/6.38</f>
        <v>1.0344827586206897</v>
      </c>
      <c r="I115" s="4">
        <v>2024</v>
      </c>
      <c r="J115" s="4" t="s">
        <v>553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23"/>
      <c r="Y115" s="4"/>
      <c r="Z115" s="4"/>
      <c r="AA115" s="4"/>
      <c r="AB115" s="4"/>
      <c r="AC115" s="4"/>
      <c r="AD115" s="4"/>
      <c r="AE115" s="4"/>
    </row>
    <row r="116" spans="1:31" ht="15.75" customHeight="1" x14ac:dyDescent="0.15">
      <c r="A116" s="4" t="s">
        <v>480</v>
      </c>
      <c r="B116" s="4" t="s">
        <v>749</v>
      </c>
      <c r="C116" s="4" t="s">
        <v>733</v>
      </c>
      <c r="D116" s="22" t="s">
        <v>482</v>
      </c>
      <c r="E116" s="4" t="s">
        <v>483</v>
      </c>
      <c r="F116" s="4" t="s">
        <v>14</v>
      </c>
      <c r="G116" s="4" t="s">
        <v>17</v>
      </c>
      <c r="H116" s="23">
        <f>10.3/6.1</f>
        <v>1.6885245901639347</v>
      </c>
      <c r="I116" s="4">
        <v>2025</v>
      </c>
      <c r="J116" s="4" t="s">
        <v>560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23"/>
      <c r="Y116" s="4"/>
      <c r="Z116" s="4"/>
      <c r="AA116" s="4"/>
      <c r="AB116" s="4"/>
      <c r="AC116" s="4"/>
      <c r="AD116" s="4"/>
      <c r="AE116" s="4"/>
    </row>
    <row r="117" spans="1:31" ht="15.75" customHeight="1" x14ac:dyDescent="0.15">
      <c r="A117" s="4" t="s">
        <v>480</v>
      </c>
      <c r="B117" s="4" t="s">
        <v>750</v>
      </c>
      <c r="C117" s="4" t="s">
        <v>733</v>
      </c>
      <c r="D117" s="22" t="s">
        <v>482</v>
      </c>
      <c r="E117" s="4" t="s">
        <v>483</v>
      </c>
      <c r="F117" s="4" t="s">
        <v>14</v>
      </c>
      <c r="G117" s="4" t="s">
        <v>17</v>
      </c>
      <c r="H117" s="23">
        <f>69/40.7</f>
        <v>1.6953316953316953</v>
      </c>
      <c r="I117" s="4">
        <v>2025</v>
      </c>
      <c r="J117" s="4" t="s">
        <v>560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23"/>
      <c r="Y117" s="4"/>
      <c r="Z117" s="4"/>
      <c r="AA117" s="4"/>
      <c r="AB117" s="4"/>
      <c r="AC117" s="4"/>
      <c r="AD117" s="4"/>
      <c r="AE117" s="4"/>
    </row>
    <row r="118" spans="1:31" ht="15.75" customHeight="1" x14ac:dyDescent="0.15">
      <c r="A118" s="4" t="s">
        <v>480</v>
      </c>
      <c r="B118" s="4" t="s">
        <v>751</v>
      </c>
      <c r="C118" s="4" t="s">
        <v>733</v>
      </c>
      <c r="D118" s="22" t="s">
        <v>482</v>
      </c>
      <c r="E118" s="4" t="s">
        <v>483</v>
      </c>
      <c r="F118" s="4" t="s">
        <v>14</v>
      </c>
      <c r="G118" s="4" t="s">
        <v>17</v>
      </c>
      <c r="H118" s="23">
        <f>373/200</f>
        <v>1.865</v>
      </c>
      <c r="I118" s="4">
        <v>2025</v>
      </c>
      <c r="J118" s="4" t="s">
        <v>560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23"/>
      <c r="Y118" s="4"/>
      <c r="Z118" s="4"/>
      <c r="AA118" s="4"/>
      <c r="AB118" s="4"/>
      <c r="AC118" s="4"/>
      <c r="AD118" s="4"/>
      <c r="AE118" s="4"/>
    </row>
    <row r="119" spans="1:31" ht="15.75" customHeight="1" x14ac:dyDescent="0.15">
      <c r="A119" s="4" t="s">
        <v>480</v>
      </c>
      <c r="B119" s="4" t="s">
        <v>752</v>
      </c>
      <c r="C119" s="4" t="s">
        <v>733</v>
      </c>
      <c r="D119" s="22" t="s">
        <v>482</v>
      </c>
      <c r="E119" s="4" t="s">
        <v>483</v>
      </c>
      <c r="F119" s="4" t="s">
        <v>14</v>
      </c>
      <c r="G119" s="4" t="s">
        <v>17</v>
      </c>
      <c r="H119" s="23">
        <f>9.89/5.18</f>
        <v>1.9092664092664096</v>
      </c>
      <c r="I119" s="4">
        <v>2025</v>
      </c>
      <c r="J119" s="4" t="s">
        <v>560</v>
      </c>
      <c r="K119" s="4"/>
      <c r="L119" s="4"/>
      <c r="M119" s="4"/>
      <c r="N119" s="4"/>
      <c r="O119" s="4"/>
      <c r="P119" s="4"/>
      <c r="Q119" s="4"/>
      <c r="R119" s="4"/>
      <c r="S119" s="7"/>
      <c r="T119" s="4"/>
      <c r="U119" s="4"/>
      <c r="V119" s="4"/>
      <c r="W119" s="4"/>
      <c r="X119" s="23"/>
      <c r="Y119" s="4"/>
      <c r="Z119" s="4"/>
      <c r="AA119" s="4"/>
      <c r="AB119" s="4"/>
      <c r="AC119" s="4"/>
      <c r="AD119" s="4"/>
      <c r="AE119" s="4"/>
    </row>
    <row r="120" spans="1:31" ht="15.75" customHeight="1" x14ac:dyDescent="0.15">
      <c r="A120" s="4" t="s">
        <v>480</v>
      </c>
      <c r="B120" s="4" t="s">
        <v>753</v>
      </c>
      <c r="C120" s="4" t="s">
        <v>733</v>
      </c>
      <c r="D120" s="22" t="s">
        <v>482</v>
      </c>
      <c r="E120" s="4" t="s">
        <v>483</v>
      </c>
      <c r="F120" s="4" t="s">
        <v>14</v>
      </c>
      <c r="G120" s="4" t="s">
        <v>17</v>
      </c>
      <c r="H120" s="23">
        <f>25.3/13.3</f>
        <v>1.9022556390977443</v>
      </c>
      <c r="I120" s="4">
        <v>2025</v>
      </c>
      <c r="J120" s="4" t="s">
        <v>560</v>
      </c>
      <c r="K120" s="4"/>
      <c r="L120" s="4"/>
      <c r="M120" s="4"/>
      <c r="N120" s="4"/>
      <c r="O120" s="4"/>
      <c r="P120" s="4"/>
      <c r="Q120" s="4"/>
      <c r="R120" s="4"/>
      <c r="S120" s="7"/>
      <c r="T120" s="4"/>
      <c r="U120" s="4"/>
      <c r="V120" s="4"/>
      <c r="W120" s="4"/>
      <c r="X120" s="23"/>
      <c r="Y120" s="4"/>
      <c r="Z120" s="4"/>
      <c r="AA120" s="4"/>
      <c r="AB120" s="4"/>
      <c r="AC120" s="4"/>
      <c r="AD120" s="4"/>
      <c r="AE120" s="4"/>
    </row>
    <row r="121" spans="1:31" ht="15.75" customHeight="1" x14ac:dyDescent="0.15">
      <c r="A121" s="4" t="s">
        <v>480</v>
      </c>
      <c r="B121" s="4" t="s">
        <v>754</v>
      </c>
      <c r="C121" s="4" t="s">
        <v>755</v>
      </c>
      <c r="D121" s="22" t="s">
        <v>482</v>
      </c>
      <c r="E121" s="4" t="s">
        <v>483</v>
      </c>
      <c r="F121" s="4" t="s">
        <v>14</v>
      </c>
      <c r="G121" s="4" t="s">
        <v>17</v>
      </c>
      <c r="H121" s="23">
        <f>0.152/0.153</f>
        <v>0.99346405228758172</v>
      </c>
      <c r="I121" s="4">
        <v>2025</v>
      </c>
      <c r="J121" s="4" t="s">
        <v>564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23"/>
      <c r="Y121" s="4"/>
      <c r="Z121" s="4"/>
      <c r="AA121" s="4"/>
      <c r="AB121" s="4"/>
      <c r="AC121" s="4"/>
      <c r="AD121" s="4"/>
      <c r="AE121" s="4"/>
    </row>
    <row r="122" spans="1:31" ht="15.75" customHeight="1" x14ac:dyDescent="0.15">
      <c r="A122" s="4" t="s">
        <v>480</v>
      </c>
      <c r="B122" s="4" t="s">
        <v>756</v>
      </c>
      <c r="C122" s="4" t="s">
        <v>755</v>
      </c>
      <c r="D122" s="22" t="s">
        <v>482</v>
      </c>
      <c r="E122" s="4" t="s">
        <v>483</v>
      </c>
      <c r="F122" s="4" t="s">
        <v>14</v>
      </c>
      <c r="G122" s="4" t="s">
        <v>17</v>
      </c>
      <c r="H122" s="23">
        <f>0.516/0.237</f>
        <v>2.1772151898734178</v>
      </c>
      <c r="I122" s="4">
        <v>2025</v>
      </c>
      <c r="J122" s="4" t="s">
        <v>539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23"/>
      <c r="Y122" s="4"/>
      <c r="Z122" s="4"/>
      <c r="AA122" s="4"/>
      <c r="AB122" s="4"/>
      <c r="AC122" s="4"/>
      <c r="AD122" s="4"/>
      <c r="AE122" s="4"/>
    </row>
    <row r="123" spans="1:31" ht="15.75" customHeight="1" x14ac:dyDescent="0.15">
      <c r="A123" s="4" t="s">
        <v>480</v>
      </c>
      <c r="B123" s="4" t="s">
        <v>757</v>
      </c>
      <c r="C123" s="4" t="s">
        <v>733</v>
      </c>
      <c r="D123" s="22" t="s">
        <v>482</v>
      </c>
      <c r="E123" s="4" t="s">
        <v>483</v>
      </c>
      <c r="F123" s="4" t="s">
        <v>14</v>
      </c>
      <c r="G123" s="4" t="s">
        <v>17</v>
      </c>
      <c r="H123" s="23">
        <f>10.3/4.57</f>
        <v>2.2538293216630199</v>
      </c>
      <c r="I123" s="4">
        <v>2025</v>
      </c>
      <c r="J123" s="4" t="s">
        <v>546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23"/>
      <c r="Y123" s="4"/>
      <c r="Z123" s="4"/>
      <c r="AA123" s="4"/>
      <c r="AB123" s="4"/>
      <c r="AC123" s="4"/>
      <c r="AD123" s="4"/>
      <c r="AE123" s="4"/>
    </row>
    <row r="124" spans="1:31" ht="15.75" customHeight="1" x14ac:dyDescent="0.15">
      <c r="A124" s="4" t="s">
        <v>480</v>
      </c>
      <c r="B124" s="4" t="s">
        <v>758</v>
      </c>
      <c r="C124" s="4" t="s">
        <v>733</v>
      </c>
      <c r="D124" s="22" t="s">
        <v>482</v>
      </c>
      <c r="E124" s="4" t="s">
        <v>483</v>
      </c>
      <c r="F124" s="4" t="s">
        <v>14</v>
      </c>
      <c r="G124" s="4" t="s">
        <v>17</v>
      </c>
      <c r="H124" s="23">
        <f>24.3/11.1</f>
        <v>2.1891891891891895</v>
      </c>
      <c r="I124" s="4">
        <v>2025</v>
      </c>
      <c r="J124" s="4" t="s">
        <v>546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23"/>
      <c r="Y124" s="4"/>
      <c r="Z124" s="4"/>
      <c r="AA124" s="4"/>
      <c r="AB124" s="4"/>
      <c r="AC124" s="4"/>
      <c r="AD124" s="4"/>
      <c r="AE124" s="4"/>
    </row>
    <row r="125" spans="1:31" ht="15.75" customHeight="1" x14ac:dyDescent="0.15">
      <c r="A125" s="4" t="s">
        <v>480</v>
      </c>
      <c r="B125" s="4" t="s">
        <v>759</v>
      </c>
      <c r="C125" s="4" t="s">
        <v>733</v>
      </c>
      <c r="D125" s="22" t="s">
        <v>482</v>
      </c>
      <c r="E125" s="4" t="s">
        <v>483</v>
      </c>
      <c r="F125" s="4" t="s">
        <v>14</v>
      </c>
      <c r="G125" s="4" t="s">
        <v>17</v>
      </c>
      <c r="H125" s="23">
        <f>87.3/42</f>
        <v>2.0785714285714283</v>
      </c>
      <c r="I125" s="4">
        <v>2025</v>
      </c>
      <c r="J125" s="4" t="s">
        <v>546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23"/>
      <c r="Y125" s="4"/>
      <c r="Z125" s="4"/>
      <c r="AA125" s="4"/>
      <c r="AB125" s="4"/>
      <c r="AC125" s="4"/>
      <c r="AD125" s="4"/>
      <c r="AE125" s="4"/>
    </row>
    <row r="126" spans="1:31" ht="15.75" customHeight="1" x14ac:dyDescent="0.15">
      <c r="A126" s="4" t="s">
        <v>480</v>
      </c>
      <c r="B126" s="4" t="s">
        <v>760</v>
      </c>
      <c r="C126" s="4" t="s">
        <v>755</v>
      </c>
      <c r="D126" s="22" t="s">
        <v>482</v>
      </c>
      <c r="E126" s="4" t="s">
        <v>483</v>
      </c>
      <c r="F126" s="4" t="s">
        <v>14</v>
      </c>
      <c r="G126" s="4" t="s">
        <v>17</v>
      </c>
      <c r="H126" s="23">
        <f>0.979/0.594</f>
        <v>1.6481481481481481</v>
      </c>
      <c r="I126" s="4">
        <v>2025</v>
      </c>
      <c r="J126" s="4" t="s">
        <v>553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23"/>
      <c r="Y126" s="4"/>
      <c r="Z126" s="4"/>
      <c r="AA126" s="4"/>
      <c r="AB126" s="4"/>
      <c r="AC126" s="4"/>
      <c r="AD126" s="4"/>
      <c r="AE126" s="4"/>
    </row>
    <row r="127" spans="1:31" ht="15.75" customHeight="1" x14ac:dyDescent="0.15">
      <c r="A127" s="4" t="s">
        <v>480</v>
      </c>
      <c r="B127" s="4" t="s">
        <v>761</v>
      </c>
      <c r="C127" s="4" t="s">
        <v>755</v>
      </c>
      <c r="D127" s="22" t="s">
        <v>482</v>
      </c>
      <c r="E127" s="4" t="s">
        <v>483</v>
      </c>
      <c r="F127" s="4" t="s">
        <v>14</v>
      </c>
      <c r="G127" s="4" t="s">
        <v>17</v>
      </c>
      <c r="H127" s="23">
        <f>7.41/3.24</f>
        <v>2.2870370370370368</v>
      </c>
      <c r="I127" s="4">
        <v>2025</v>
      </c>
      <c r="J127" s="4" t="s">
        <v>553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23"/>
      <c r="Y127" s="4"/>
      <c r="Z127" s="4"/>
      <c r="AA127" s="4"/>
      <c r="AB127" s="4"/>
      <c r="AC127" s="4"/>
      <c r="AD127" s="4"/>
      <c r="AE127" s="4"/>
    </row>
    <row r="128" spans="1:31" ht="15.75" customHeight="1" x14ac:dyDescent="0.15">
      <c r="A128" s="4" t="s">
        <v>480</v>
      </c>
      <c r="B128" s="4" t="s">
        <v>762</v>
      </c>
      <c r="C128" s="4" t="s">
        <v>755</v>
      </c>
      <c r="D128" s="22" t="s">
        <v>482</v>
      </c>
      <c r="E128" s="4" t="s">
        <v>483</v>
      </c>
      <c r="F128" s="4" t="s">
        <v>14</v>
      </c>
      <c r="G128" s="4" t="s">
        <v>17</v>
      </c>
      <c r="H128" s="23">
        <f>42.1/18.5</f>
        <v>2.275675675675676</v>
      </c>
      <c r="I128" s="4">
        <v>2025</v>
      </c>
      <c r="J128" s="4" t="s">
        <v>553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23"/>
      <c r="Y128" s="4"/>
      <c r="Z128" s="4"/>
      <c r="AA128" s="4"/>
      <c r="AB128" s="4"/>
      <c r="AC128" s="4"/>
      <c r="AD128" s="4"/>
      <c r="AE128" s="4"/>
    </row>
    <row r="129" spans="1:31" ht="15.75" customHeight="1" x14ac:dyDescent="0.15">
      <c r="A129" s="4" t="s">
        <v>480</v>
      </c>
      <c r="B129" s="4" t="s">
        <v>763</v>
      </c>
      <c r="C129" s="4" t="s">
        <v>755</v>
      </c>
      <c r="D129" s="22" t="s">
        <v>482</v>
      </c>
      <c r="E129" s="4" t="s">
        <v>483</v>
      </c>
      <c r="F129" s="4" t="s">
        <v>14</v>
      </c>
      <c r="G129" s="4" t="s">
        <v>17</v>
      </c>
      <c r="H129" s="23">
        <f>8.41/4.27</f>
        <v>1.9695550351288058</v>
      </c>
      <c r="I129" s="4">
        <v>2024</v>
      </c>
      <c r="J129" s="4" t="s">
        <v>553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23"/>
      <c r="Y129" s="4"/>
      <c r="Z129" s="4"/>
      <c r="AA129" s="4"/>
      <c r="AB129" s="4"/>
      <c r="AC129" s="4"/>
      <c r="AD129" s="4"/>
      <c r="AE129" s="4"/>
    </row>
    <row r="130" spans="1:31" ht="15.75" customHeight="1" x14ac:dyDescent="0.15">
      <c r="A130" s="4" t="s">
        <v>764</v>
      </c>
      <c r="B130" s="4" t="s">
        <v>765</v>
      </c>
      <c r="C130" s="4" t="s">
        <v>502</v>
      </c>
      <c r="D130" s="22" t="s">
        <v>766</v>
      </c>
      <c r="E130" s="4" t="s">
        <v>405</v>
      </c>
      <c r="F130" s="4" t="s">
        <v>14</v>
      </c>
      <c r="G130" s="4" t="s">
        <v>17</v>
      </c>
      <c r="H130" s="23">
        <v>3.859</v>
      </c>
      <c r="I130" s="4">
        <v>2024</v>
      </c>
      <c r="J130" s="4" t="s">
        <v>564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23"/>
      <c r="Y130" s="4"/>
      <c r="Z130" s="4"/>
      <c r="AA130" s="4"/>
      <c r="AB130" s="4"/>
      <c r="AC130" s="4"/>
      <c r="AD130" s="4"/>
      <c r="AE130" s="4"/>
    </row>
    <row r="131" spans="1:31" ht="15.75" customHeight="1" x14ac:dyDescent="0.15">
      <c r="A131" s="4" t="s">
        <v>764</v>
      </c>
      <c r="B131" s="4" t="s">
        <v>767</v>
      </c>
      <c r="C131" s="4" t="s">
        <v>502</v>
      </c>
      <c r="D131" s="22" t="s">
        <v>768</v>
      </c>
      <c r="E131" s="4" t="s">
        <v>405</v>
      </c>
      <c r="F131" s="4" t="s">
        <v>14</v>
      </c>
      <c r="G131" s="4" t="s">
        <v>17</v>
      </c>
      <c r="H131" s="23">
        <v>2.56</v>
      </c>
      <c r="I131" s="4">
        <v>2024</v>
      </c>
      <c r="J131" s="4" t="s">
        <v>769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23"/>
      <c r="Y131" s="4"/>
      <c r="Z131" s="4"/>
      <c r="AA131" s="4"/>
      <c r="AB131" s="4"/>
      <c r="AC131" s="4"/>
      <c r="AD131" s="4"/>
      <c r="AE131" s="4"/>
    </row>
    <row r="132" spans="1:31" ht="15.75" customHeight="1" x14ac:dyDescent="0.15">
      <c r="A132" s="4" t="s">
        <v>764</v>
      </c>
      <c r="B132" s="4" t="s">
        <v>770</v>
      </c>
      <c r="C132" s="4" t="s">
        <v>502</v>
      </c>
      <c r="D132" s="22" t="s">
        <v>771</v>
      </c>
      <c r="E132" s="4" t="s">
        <v>405</v>
      </c>
      <c r="F132" s="4" t="s">
        <v>14</v>
      </c>
      <c r="G132" s="4" t="s">
        <v>17</v>
      </c>
      <c r="H132" s="23">
        <v>7.5839999999999996</v>
      </c>
      <c r="I132" s="4">
        <v>2024</v>
      </c>
      <c r="J132" s="4" t="s">
        <v>772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23"/>
      <c r="Y132" s="4"/>
      <c r="Z132" s="4"/>
      <c r="AA132" s="4"/>
      <c r="AB132" s="4"/>
      <c r="AC132" s="4"/>
      <c r="AD132" s="4"/>
      <c r="AE132" s="4"/>
    </row>
    <row r="133" spans="1:31" ht="15.75" customHeight="1" x14ac:dyDescent="0.15">
      <c r="A133" s="4" t="s">
        <v>764</v>
      </c>
      <c r="B133" s="4" t="s">
        <v>773</v>
      </c>
      <c r="C133" s="4" t="s">
        <v>502</v>
      </c>
      <c r="D133" s="22" t="s">
        <v>774</v>
      </c>
      <c r="E133" s="4" t="s">
        <v>405</v>
      </c>
      <c r="F133" s="4" t="s">
        <v>14</v>
      </c>
      <c r="G133" s="4" t="s">
        <v>17</v>
      </c>
      <c r="H133" s="23">
        <v>7.7480000000000002</v>
      </c>
      <c r="I133" s="4">
        <v>2024</v>
      </c>
      <c r="J133" s="4" t="s">
        <v>775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23"/>
      <c r="Y133" s="4"/>
      <c r="Z133" s="4"/>
      <c r="AA133" s="4"/>
      <c r="AB133" s="4"/>
      <c r="AC133" s="4"/>
      <c r="AD133" s="4"/>
      <c r="AE133" s="4"/>
    </row>
    <row r="134" spans="1:31" ht="15.75" customHeight="1" x14ac:dyDescent="0.15">
      <c r="A134" s="4" t="s">
        <v>764</v>
      </c>
      <c r="B134" s="4" t="s">
        <v>776</v>
      </c>
      <c r="C134" s="4" t="s">
        <v>502</v>
      </c>
      <c r="D134" s="22" t="s">
        <v>777</v>
      </c>
      <c r="E134" s="4" t="s">
        <v>405</v>
      </c>
      <c r="F134" s="4" t="s">
        <v>14</v>
      </c>
      <c r="G134" s="4" t="s">
        <v>17</v>
      </c>
      <c r="H134" s="23">
        <v>4.0019999999999998</v>
      </c>
      <c r="I134" s="4">
        <v>2024</v>
      </c>
      <c r="J134" s="4" t="s">
        <v>564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23"/>
      <c r="Y134" s="4"/>
      <c r="Z134" s="4"/>
      <c r="AA134" s="4"/>
      <c r="AB134" s="4"/>
      <c r="AC134" s="4"/>
      <c r="AD134" s="4"/>
      <c r="AE134" s="4"/>
    </row>
    <row r="135" spans="1:31" ht="15.75" customHeight="1" x14ac:dyDescent="0.15">
      <c r="A135" s="4" t="s">
        <v>764</v>
      </c>
      <c r="B135" s="4" t="s">
        <v>778</v>
      </c>
      <c r="C135" s="4" t="s">
        <v>502</v>
      </c>
      <c r="D135" s="22" t="s">
        <v>779</v>
      </c>
      <c r="E135" s="4" t="s">
        <v>405</v>
      </c>
      <c r="F135" s="4" t="s">
        <v>14</v>
      </c>
      <c r="G135" s="4" t="s">
        <v>17</v>
      </c>
      <c r="H135" s="23">
        <v>2.4969999999999999</v>
      </c>
      <c r="I135" s="4">
        <v>2024</v>
      </c>
      <c r="J135" s="4" t="s">
        <v>560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23"/>
      <c r="Y135" s="4"/>
      <c r="Z135" s="4"/>
      <c r="AA135" s="4"/>
      <c r="AB135" s="4"/>
      <c r="AC135" s="4"/>
      <c r="AD135" s="4"/>
      <c r="AE135" s="4"/>
    </row>
    <row r="136" spans="1:31" ht="15.75" customHeight="1" x14ac:dyDescent="0.15">
      <c r="A136" s="4" t="s">
        <v>764</v>
      </c>
      <c r="B136" s="4" t="s">
        <v>780</v>
      </c>
      <c r="C136" s="4" t="s">
        <v>781</v>
      </c>
      <c r="D136" s="22" t="s">
        <v>782</v>
      </c>
      <c r="E136" s="4" t="s">
        <v>607</v>
      </c>
      <c r="F136" s="4" t="s">
        <v>14</v>
      </c>
      <c r="G136" s="4" t="s">
        <v>17</v>
      </c>
      <c r="H136" s="23">
        <v>0.57799999999999996</v>
      </c>
      <c r="I136" s="4">
        <v>2027</v>
      </c>
      <c r="J136" s="4" t="s">
        <v>546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23"/>
      <c r="Y136" s="4"/>
      <c r="Z136" s="4"/>
      <c r="AA136" s="4"/>
      <c r="AB136" s="4"/>
      <c r="AC136" s="4"/>
      <c r="AD136" s="4"/>
      <c r="AE136" s="4"/>
    </row>
    <row r="137" spans="1:31" ht="15.75" customHeight="1" x14ac:dyDescent="0.15">
      <c r="A137" s="4" t="s">
        <v>764</v>
      </c>
      <c r="B137" s="4" t="s">
        <v>783</v>
      </c>
      <c r="C137" s="4" t="s">
        <v>649</v>
      </c>
      <c r="D137" s="22" t="s">
        <v>784</v>
      </c>
      <c r="E137" s="4" t="s">
        <v>405</v>
      </c>
      <c r="F137" s="4" t="s">
        <v>14</v>
      </c>
      <c r="G137" s="4" t="s">
        <v>17</v>
      </c>
      <c r="H137" s="23">
        <v>4.351</v>
      </c>
      <c r="I137" s="4">
        <v>2024</v>
      </c>
      <c r="J137" s="4" t="s">
        <v>575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23"/>
      <c r="Y137" s="4"/>
      <c r="Z137" s="4"/>
      <c r="AA137" s="4"/>
      <c r="AB137" s="4"/>
      <c r="AC137" s="4"/>
      <c r="AD137" s="4"/>
      <c r="AE137" s="4"/>
    </row>
    <row r="138" spans="1:31" ht="15.75" customHeight="1" x14ac:dyDescent="0.15">
      <c r="A138" s="4" t="s">
        <v>764</v>
      </c>
      <c r="B138" s="4" t="s">
        <v>785</v>
      </c>
      <c r="C138" s="4" t="s">
        <v>649</v>
      </c>
      <c r="D138" s="22" t="s">
        <v>786</v>
      </c>
      <c r="E138" s="4" t="s">
        <v>405</v>
      </c>
      <c r="F138" s="4" t="s">
        <v>14</v>
      </c>
      <c r="G138" s="4" t="s">
        <v>17</v>
      </c>
      <c r="H138" s="23">
        <v>1.581</v>
      </c>
      <c r="I138" s="4">
        <v>2024</v>
      </c>
      <c r="J138" s="4" t="s">
        <v>787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23"/>
      <c r="Y138" s="4"/>
      <c r="Z138" s="4"/>
      <c r="AA138" s="4"/>
      <c r="AB138" s="4"/>
      <c r="AC138" s="4"/>
      <c r="AD138" s="4"/>
      <c r="AE138" s="4"/>
    </row>
    <row r="139" spans="1:31" ht="15.75" customHeight="1" x14ac:dyDescent="0.15">
      <c r="A139" s="4" t="s">
        <v>764</v>
      </c>
      <c r="B139" s="4" t="s">
        <v>788</v>
      </c>
      <c r="C139" s="4" t="s">
        <v>649</v>
      </c>
      <c r="D139" s="22" t="s">
        <v>789</v>
      </c>
      <c r="E139" s="4" t="s">
        <v>405</v>
      </c>
      <c r="F139" s="4" t="s">
        <v>14</v>
      </c>
      <c r="G139" s="4" t="s">
        <v>17</v>
      </c>
      <c r="H139" s="23">
        <v>2.036</v>
      </c>
      <c r="I139" s="4">
        <v>2024</v>
      </c>
      <c r="J139" s="4" t="s">
        <v>539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23"/>
      <c r="Y139" s="4"/>
      <c r="Z139" s="4"/>
      <c r="AA139" s="4"/>
      <c r="AB139" s="4"/>
      <c r="AC139" s="4"/>
      <c r="AD139" s="4"/>
      <c r="AE139" s="4"/>
    </row>
    <row r="140" spans="1:31" ht="15.75" customHeight="1" x14ac:dyDescent="0.15">
      <c r="A140" s="4" t="s">
        <v>764</v>
      </c>
      <c r="B140" s="4" t="s">
        <v>790</v>
      </c>
      <c r="C140" s="4" t="s">
        <v>649</v>
      </c>
      <c r="D140" s="22" t="s">
        <v>791</v>
      </c>
      <c r="E140" s="4" t="s">
        <v>405</v>
      </c>
      <c r="F140" s="4" t="s">
        <v>14</v>
      </c>
      <c r="G140" s="4" t="s">
        <v>17</v>
      </c>
      <c r="H140" s="23">
        <v>2.4969999999999999</v>
      </c>
      <c r="I140" s="4">
        <v>2024</v>
      </c>
      <c r="J140" s="4" t="s">
        <v>560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23"/>
      <c r="Y140" s="4"/>
      <c r="Z140" s="4"/>
      <c r="AA140" s="4"/>
      <c r="AB140" s="4"/>
      <c r="AC140" s="4"/>
      <c r="AD140" s="4"/>
      <c r="AE140" s="4"/>
    </row>
    <row r="141" spans="1:31" ht="15.75" customHeight="1" x14ac:dyDescent="0.15">
      <c r="A141" s="4" t="s">
        <v>764</v>
      </c>
      <c r="B141" s="4" t="s">
        <v>792</v>
      </c>
      <c r="C141" s="4" t="s">
        <v>649</v>
      </c>
      <c r="D141" s="22" t="s">
        <v>793</v>
      </c>
      <c r="E141" s="4" t="s">
        <v>405</v>
      </c>
      <c r="F141" s="4" t="s">
        <v>14</v>
      </c>
      <c r="G141" s="4" t="s">
        <v>17</v>
      </c>
      <c r="H141" s="23">
        <v>2.5950000000000002</v>
      </c>
      <c r="I141" s="4">
        <v>2024</v>
      </c>
      <c r="J141" s="4" t="s">
        <v>553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23"/>
      <c r="Y141" s="4"/>
      <c r="Z141" s="4"/>
      <c r="AA141" s="4"/>
      <c r="AB141" s="4"/>
      <c r="AC141" s="4"/>
      <c r="AD141" s="4"/>
      <c r="AE141" s="4"/>
    </row>
    <row r="142" spans="1:31" ht="15.75" customHeight="1" x14ac:dyDescent="0.15">
      <c r="A142" s="4" t="s">
        <v>764</v>
      </c>
      <c r="B142" s="4" t="s">
        <v>794</v>
      </c>
      <c r="C142" s="4" t="s">
        <v>704</v>
      </c>
      <c r="D142" s="22" t="s">
        <v>795</v>
      </c>
      <c r="E142" s="4" t="s">
        <v>405</v>
      </c>
      <c r="F142" s="4" t="s">
        <v>14</v>
      </c>
      <c r="G142" s="4" t="s">
        <v>17</v>
      </c>
      <c r="H142" s="23">
        <v>2.2440000000000002</v>
      </c>
      <c r="I142" s="4">
        <v>2024</v>
      </c>
      <c r="J142" s="4" t="s">
        <v>553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23"/>
      <c r="Y142" s="4"/>
      <c r="Z142" s="4"/>
      <c r="AA142" s="4"/>
      <c r="AB142" s="4"/>
      <c r="AC142" s="4"/>
      <c r="AD142" s="4"/>
      <c r="AE142" s="4"/>
    </row>
    <row r="143" spans="1:31" ht="15.75" customHeight="1" x14ac:dyDescent="0.15">
      <c r="A143" s="4" t="s">
        <v>796</v>
      </c>
      <c r="B143" s="4" t="s">
        <v>797</v>
      </c>
      <c r="C143" s="4" t="s">
        <v>781</v>
      </c>
      <c r="D143" s="22" t="s">
        <v>798</v>
      </c>
      <c r="E143" s="4" t="s">
        <v>607</v>
      </c>
      <c r="F143" s="4" t="s">
        <v>14</v>
      </c>
      <c r="G143" s="4" t="s">
        <v>17</v>
      </c>
      <c r="H143" s="23">
        <v>2.76</v>
      </c>
      <c r="I143" s="4">
        <v>2027</v>
      </c>
      <c r="J143" s="4" t="s">
        <v>546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23"/>
      <c r="Y143" s="4"/>
      <c r="Z143" s="4"/>
      <c r="AA143" s="4"/>
      <c r="AB143" s="4"/>
      <c r="AC143" s="4"/>
      <c r="AD143" s="4"/>
      <c r="AE143" s="4"/>
    </row>
    <row r="144" spans="1:31" ht="15.75" customHeight="1" x14ac:dyDescent="0.15">
      <c r="A144" s="4" t="s">
        <v>796</v>
      </c>
      <c r="B144" s="4" t="s">
        <v>799</v>
      </c>
      <c r="C144" s="4" t="s">
        <v>502</v>
      </c>
      <c r="D144" s="22" t="s">
        <v>800</v>
      </c>
      <c r="E144" s="4" t="s">
        <v>607</v>
      </c>
      <c r="F144" s="4" t="s">
        <v>14</v>
      </c>
      <c r="G144" s="4" t="s">
        <v>17</v>
      </c>
      <c r="H144" s="23">
        <v>3.38</v>
      </c>
      <c r="I144" s="4">
        <v>2027</v>
      </c>
      <c r="J144" s="4" t="s">
        <v>539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23"/>
      <c r="Y144" s="4"/>
      <c r="Z144" s="4"/>
      <c r="AA144" s="4"/>
      <c r="AB144" s="4"/>
      <c r="AC144" s="4"/>
      <c r="AD144" s="4"/>
      <c r="AE144" s="4"/>
    </row>
    <row r="145" spans="1:31" ht="15.75" customHeight="1" x14ac:dyDescent="0.15">
      <c r="A145" s="4" t="s">
        <v>796</v>
      </c>
      <c r="B145" s="4" t="s">
        <v>801</v>
      </c>
      <c r="C145" s="4" t="s">
        <v>502</v>
      </c>
      <c r="D145" s="22" t="s">
        <v>802</v>
      </c>
      <c r="E145" s="4" t="s">
        <v>405</v>
      </c>
      <c r="F145" s="4" t="s">
        <v>14</v>
      </c>
      <c r="G145" s="4" t="s">
        <v>17</v>
      </c>
      <c r="H145" s="23">
        <v>5.56</v>
      </c>
      <c r="I145" s="4">
        <v>2027</v>
      </c>
      <c r="J145" s="4" t="s">
        <v>803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23"/>
      <c r="Y145" s="4"/>
      <c r="Z145" s="4"/>
      <c r="AA145" s="4"/>
      <c r="AB145" s="4"/>
      <c r="AC145" s="4"/>
      <c r="AD145" s="4"/>
      <c r="AE145" s="4"/>
    </row>
    <row r="146" spans="1:31" ht="15.75" customHeight="1" x14ac:dyDescent="0.15">
      <c r="A146" s="4" t="s">
        <v>796</v>
      </c>
      <c r="B146" s="4" t="s">
        <v>804</v>
      </c>
      <c r="C146" s="4" t="s">
        <v>723</v>
      </c>
      <c r="D146" s="22" t="s">
        <v>805</v>
      </c>
      <c r="E146" s="4" t="s">
        <v>369</v>
      </c>
      <c r="F146" s="4" t="s">
        <v>14</v>
      </c>
      <c r="G146" s="4" t="s">
        <v>17</v>
      </c>
      <c r="H146" s="23">
        <v>2.25</v>
      </c>
      <c r="I146" s="4">
        <v>2026</v>
      </c>
      <c r="J146" s="4" t="s">
        <v>806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23"/>
      <c r="Y146" s="4"/>
      <c r="Z146" s="4"/>
      <c r="AA146" s="4"/>
      <c r="AB146" s="4"/>
      <c r="AC146" s="4"/>
      <c r="AD146" s="4"/>
      <c r="AE146" s="4"/>
    </row>
    <row r="147" spans="1:31" ht="15.75" customHeight="1" x14ac:dyDescent="0.15">
      <c r="A147" s="4" t="s">
        <v>796</v>
      </c>
      <c r="B147" s="4" t="s">
        <v>807</v>
      </c>
      <c r="C147" s="4" t="s">
        <v>808</v>
      </c>
      <c r="D147" s="22" t="s">
        <v>809</v>
      </c>
      <c r="E147" s="4" t="s">
        <v>369</v>
      </c>
      <c r="F147" s="4" t="s">
        <v>14</v>
      </c>
      <c r="G147" s="4" t="s">
        <v>17</v>
      </c>
      <c r="H147" s="23">
        <v>1.84</v>
      </c>
      <c r="I147" s="4">
        <v>2026</v>
      </c>
      <c r="J147" s="4" t="s">
        <v>560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23"/>
      <c r="Y147" s="4"/>
      <c r="Z147" s="4"/>
      <c r="AA147" s="4"/>
      <c r="AB147" s="4"/>
      <c r="AC147" s="4"/>
      <c r="AD147" s="4"/>
      <c r="AE147" s="4"/>
    </row>
    <row r="148" spans="1:31" ht="15.75" customHeight="1" x14ac:dyDescent="0.15">
      <c r="A148" s="4" t="s">
        <v>796</v>
      </c>
      <c r="B148" s="4" t="s">
        <v>810</v>
      </c>
      <c r="C148" s="4" t="s">
        <v>811</v>
      </c>
      <c r="D148" s="22" t="s">
        <v>812</v>
      </c>
      <c r="E148" s="4" t="s">
        <v>813</v>
      </c>
      <c r="F148" s="4" t="s">
        <v>14</v>
      </c>
      <c r="G148" s="4" t="s">
        <v>17</v>
      </c>
      <c r="H148" s="23">
        <v>2.06</v>
      </c>
      <c r="I148" s="4">
        <v>2026</v>
      </c>
      <c r="J148" s="4" t="s">
        <v>560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23"/>
      <c r="Y148" s="4"/>
      <c r="Z148" s="4"/>
      <c r="AA148" s="4"/>
      <c r="AB148" s="4"/>
      <c r="AC148" s="4"/>
      <c r="AD148" s="4"/>
      <c r="AE148" s="4"/>
    </row>
    <row r="149" spans="1:31" ht="15.75" customHeight="1" x14ac:dyDescent="0.15">
      <c r="A149" s="4" t="s">
        <v>796</v>
      </c>
      <c r="B149" s="4" t="s">
        <v>814</v>
      </c>
      <c r="C149" s="4" t="s">
        <v>815</v>
      </c>
      <c r="D149" s="22" t="s">
        <v>816</v>
      </c>
      <c r="E149" s="4" t="s">
        <v>607</v>
      </c>
      <c r="F149" s="4" t="s">
        <v>14</v>
      </c>
      <c r="G149" s="4" t="s">
        <v>17</v>
      </c>
      <c r="H149" s="23">
        <v>2.06</v>
      </c>
      <c r="I149" s="4">
        <v>2026</v>
      </c>
      <c r="J149" s="4" t="s">
        <v>560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23"/>
      <c r="Y149" s="4"/>
      <c r="Z149" s="4"/>
      <c r="AA149" s="4"/>
      <c r="AB149" s="4"/>
      <c r="AC149" s="4"/>
      <c r="AD149" s="4"/>
      <c r="AE149" s="4"/>
    </row>
    <row r="150" spans="1:31" ht="15.75" customHeight="1" x14ac:dyDescent="0.15">
      <c r="A150" s="4"/>
      <c r="B150" s="4"/>
      <c r="C150" s="4"/>
      <c r="D150" s="4"/>
      <c r="E150" s="4"/>
      <c r="F150" s="4"/>
      <c r="G150" s="4"/>
      <c r="H150" s="2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23"/>
      <c r="Y150" s="4"/>
      <c r="Z150" s="4"/>
      <c r="AA150" s="4"/>
      <c r="AB150" s="4"/>
      <c r="AC150" s="4"/>
      <c r="AD150" s="4"/>
      <c r="AE150" s="4"/>
    </row>
    <row r="151" spans="1:31" ht="15.75" customHeight="1" x14ac:dyDescent="0.15">
      <c r="A151" s="4"/>
      <c r="B151" s="4"/>
      <c r="C151" s="4"/>
      <c r="D151" s="4"/>
      <c r="E151" s="4"/>
      <c r="F151" s="4"/>
      <c r="G151" s="4"/>
      <c r="H151" s="2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23"/>
      <c r="Y151" s="4"/>
      <c r="Z151" s="4"/>
      <c r="AA151" s="4"/>
      <c r="AB151" s="4"/>
      <c r="AC151" s="4"/>
      <c r="AD151" s="4"/>
      <c r="AE151" s="4"/>
    </row>
    <row r="152" spans="1:31" ht="15.75" customHeight="1" x14ac:dyDescent="0.15">
      <c r="A152" s="4"/>
      <c r="B152" s="4"/>
      <c r="C152" s="4"/>
      <c r="D152" s="4"/>
      <c r="E152" s="4"/>
      <c r="F152" s="4"/>
      <c r="G152" s="4"/>
      <c r="H152" s="2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23"/>
      <c r="Y152" s="4"/>
      <c r="Z152" s="4"/>
      <c r="AA152" s="4"/>
      <c r="AB152" s="4"/>
      <c r="AC152" s="4"/>
      <c r="AD152" s="4"/>
      <c r="AE152" s="4"/>
    </row>
    <row r="153" spans="1:31" ht="15.75" customHeight="1" x14ac:dyDescent="0.15">
      <c r="A153" s="4"/>
      <c r="B153" s="4"/>
      <c r="C153" s="4"/>
      <c r="D153" s="4"/>
      <c r="E153" s="4"/>
      <c r="F153" s="4"/>
      <c r="G153" s="4"/>
      <c r="H153" s="2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23"/>
      <c r="Y153" s="4"/>
      <c r="Z153" s="4"/>
      <c r="AA153" s="4"/>
      <c r="AB153" s="4"/>
      <c r="AC153" s="4"/>
      <c r="AD153" s="4"/>
      <c r="AE153" s="4"/>
    </row>
    <row r="154" spans="1:31" ht="15.75" customHeight="1" x14ac:dyDescent="0.15">
      <c r="A154" s="4"/>
      <c r="B154" s="4"/>
      <c r="C154" s="4"/>
      <c r="D154" s="4"/>
      <c r="E154" s="4"/>
      <c r="F154" s="4"/>
      <c r="G154" s="4"/>
      <c r="H154" s="2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23"/>
      <c r="Y154" s="4"/>
      <c r="Z154" s="4"/>
      <c r="AA154" s="4"/>
      <c r="AB154" s="4"/>
      <c r="AC154" s="4"/>
      <c r="AD154" s="4"/>
      <c r="AE154" s="4"/>
    </row>
    <row r="155" spans="1:31" ht="15.75" customHeight="1" x14ac:dyDescent="0.15">
      <c r="A155" s="4"/>
      <c r="B155" s="4"/>
      <c r="C155" s="4"/>
      <c r="D155" s="4"/>
      <c r="E155" s="4"/>
      <c r="F155" s="4"/>
      <c r="G155" s="4"/>
      <c r="H155" s="2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23"/>
      <c r="Y155" s="4"/>
      <c r="Z155" s="4"/>
      <c r="AA155" s="4"/>
      <c r="AB155" s="4"/>
      <c r="AC155" s="4"/>
      <c r="AD155" s="4"/>
      <c r="AE155" s="4"/>
    </row>
    <row r="156" spans="1:31" ht="15.75" customHeight="1" x14ac:dyDescent="0.15">
      <c r="A156" s="4"/>
      <c r="B156" s="4"/>
      <c r="C156" s="4"/>
      <c r="D156" s="4"/>
      <c r="E156" s="4"/>
      <c r="F156" s="4"/>
      <c r="G156" s="4"/>
      <c r="H156" s="2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23"/>
      <c r="Y156" s="4"/>
      <c r="Z156" s="4"/>
      <c r="AA156" s="4"/>
      <c r="AB156" s="4"/>
      <c r="AC156" s="4"/>
      <c r="AD156" s="4"/>
      <c r="AE156" s="4"/>
    </row>
    <row r="157" spans="1:31" ht="15.75" customHeight="1" x14ac:dyDescent="0.15">
      <c r="A157" s="4"/>
      <c r="B157" s="4"/>
      <c r="C157" s="4"/>
      <c r="D157" s="4"/>
      <c r="E157" s="4"/>
      <c r="F157" s="4"/>
      <c r="G157" s="4"/>
      <c r="H157" s="2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23"/>
      <c r="Y157" s="4"/>
      <c r="Z157" s="4"/>
      <c r="AA157" s="4"/>
      <c r="AB157" s="4"/>
      <c r="AC157" s="4"/>
      <c r="AD157" s="4"/>
      <c r="AE157" s="4"/>
    </row>
    <row r="158" spans="1:31" ht="15.75" customHeight="1" x14ac:dyDescent="0.15">
      <c r="A158" s="4"/>
      <c r="B158" s="4"/>
      <c r="C158" s="4"/>
      <c r="D158" s="4"/>
      <c r="E158" s="4"/>
      <c r="F158" s="4"/>
      <c r="G158" s="4"/>
      <c r="H158" s="2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23"/>
      <c r="Y158" s="4"/>
      <c r="Z158" s="4"/>
      <c r="AA158" s="4"/>
      <c r="AB158" s="4"/>
      <c r="AC158" s="4"/>
      <c r="AD158" s="4"/>
      <c r="AE158" s="4"/>
    </row>
    <row r="159" spans="1:31" ht="15.75" customHeight="1" x14ac:dyDescent="0.15">
      <c r="A159" s="4"/>
      <c r="B159" s="4"/>
      <c r="C159" s="4"/>
      <c r="D159" s="4"/>
      <c r="E159" s="4"/>
      <c r="F159" s="4"/>
      <c r="G159" s="4"/>
      <c r="H159" s="2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23"/>
      <c r="Y159" s="4"/>
      <c r="Z159" s="4"/>
      <c r="AA159" s="4"/>
      <c r="AB159" s="4"/>
      <c r="AC159" s="4"/>
      <c r="AD159" s="4"/>
      <c r="AE159" s="4"/>
    </row>
    <row r="160" spans="1:31" ht="15.75" customHeight="1" x14ac:dyDescent="0.15">
      <c r="A160" s="4"/>
      <c r="B160" s="4"/>
      <c r="C160" s="4"/>
      <c r="D160" s="4"/>
      <c r="E160" s="4"/>
      <c r="F160" s="4"/>
      <c r="G160" s="4"/>
      <c r="H160" s="2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3"/>
      <c r="Y160" s="4"/>
      <c r="Z160" s="4"/>
      <c r="AA160" s="4"/>
      <c r="AB160" s="4"/>
      <c r="AC160" s="4"/>
      <c r="AD160" s="4"/>
      <c r="AE160" s="4"/>
    </row>
    <row r="161" spans="1:31" ht="15.75" customHeight="1" x14ac:dyDescent="0.15">
      <c r="A161" s="4"/>
      <c r="B161" s="4"/>
      <c r="C161" s="4"/>
      <c r="D161" s="4"/>
      <c r="E161" s="4"/>
      <c r="F161" s="4"/>
      <c r="G161" s="4"/>
      <c r="H161" s="2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23"/>
      <c r="Y161" s="4"/>
      <c r="Z161" s="4"/>
      <c r="AA161" s="4"/>
      <c r="AB161" s="4"/>
      <c r="AC161" s="4"/>
      <c r="AD161" s="4"/>
      <c r="AE161" s="4"/>
    </row>
    <row r="162" spans="1:31" ht="15.75" customHeight="1" x14ac:dyDescent="0.15">
      <c r="A162" s="4"/>
      <c r="B162" s="4"/>
      <c r="C162" s="4"/>
      <c r="D162" s="4"/>
      <c r="E162" s="4"/>
      <c r="F162" s="4"/>
      <c r="G162" s="4"/>
      <c r="H162" s="2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23"/>
      <c r="Y162" s="4"/>
      <c r="Z162" s="4"/>
      <c r="AA162" s="4"/>
      <c r="AB162" s="4"/>
      <c r="AC162" s="4"/>
      <c r="AD162" s="4"/>
      <c r="AE162" s="4"/>
    </row>
    <row r="163" spans="1:31" ht="15.75" customHeight="1" x14ac:dyDescent="0.15">
      <c r="A163" s="4"/>
      <c r="B163" s="4"/>
      <c r="C163" s="4"/>
      <c r="D163" s="4"/>
      <c r="E163" s="4"/>
      <c r="F163" s="4"/>
      <c r="G163" s="4"/>
      <c r="H163" s="2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23"/>
      <c r="Y163" s="4"/>
      <c r="Z163" s="4"/>
      <c r="AA163" s="4"/>
      <c r="AB163" s="4"/>
      <c r="AC163" s="4"/>
      <c r="AD163" s="4"/>
      <c r="AE163" s="4"/>
    </row>
    <row r="164" spans="1:31" ht="15.75" customHeight="1" x14ac:dyDescent="0.15">
      <c r="A164" s="4"/>
      <c r="B164" s="4"/>
      <c r="C164" s="4"/>
      <c r="D164" s="4"/>
      <c r="E164" s="4"/>
      <c r="F164" s="4"/>
      <c r="G164" s="4"/>
      <c r="H164" s="2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23"/>
      <c r="Y164" s="4"/>
      <c r="Z164" s="4"/>
      <c r="AA164" s="4"/>
      <c r="AB164" s="4"/>
      <c r="AC164" s="4"/>
      <c r="AD164" s="4"/>
      <c r="AE164" s="4"/>
    </row>
    <row r="165" spans="1:31" ht="15.75" customHeight="1" x14ac:dyDescent="0.15">
      <c r="A165" s="4"/>
      <c r="B165" s="4"/>
      <c r="C165" s="4"/>
      <c r="D165" s="4"/>
      <c r="E165" s="4"/>
      <c r="F165" s="4"/>
      <c r="G165" s="4"/>
      <c r="H165" s="2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23"/>
      <c r="Y165" s="4"/>
      <c r="Z165" s="4"/>
      <c r="AA165" s="4"/>
      <c r="AB165" s="4"/>
      <c r="AC165" s="4"/>
      <c r="AD165" s="4"/>
      <c r="AE165" s="4"/>
    </row>
    <row r="166" spans="1:31" ht="15.75" customHeight="1" x14ac:dyDescent="0.15">
      <c r="A166" s="4"/>
      <c r="B166" s="4"/>
      <c r="C166" s="4"/>
      <c r="D166" s="4"/>
      <c r="E166" s="4"/>
      <c r="F166" s="4"/>
      <c r="G166" s="4"/>
      <c r="H166" s="2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23"/>
      <c r="Y166" s="4"/>
      <c r="Z166" s="4"/>
      <c r="AA166" s="4"/>
      <c r="AB166" s="4"/>
      <c r="AC166" s="4"/>
      <c r="AD166" s="4"/>
      <c r="AE166" s="4"/>
    </row>
    <row r="167" spans="1:31" ht="15.75" customHeight="1" x14ac:dyDescent="0.15">
      <c r="A167" s="4"/>
      <c r="B167" s="4"/>
      <c r="C167" s="4"/>
      <c r="D167" s="4"/>
      <c r="E167" s="4"/>
      <c r="F167" s="4"/>
      <c r="G167" s="4"/>
      <c r="H167" s="2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23"/>
      <c r="Y167" s="4"/>
      <c r="Z167" s="4"/>
      <c r="AA167" s="4"/>
      <c r="AB167" s="4"/>
      <c r="AC167" s="4"/>
      <c r="AD167" s="4"/>
      <c r="AE167" s="4"/>
    </row>
    <row r="168" spans="1:31" ht="15.75" customHeight="1" x14ac:dyDescent="0.15">
      <c r="A168" s="4"/>
      <c r="B168" s="4"/>
      <c r="C168" s="4"/>
      <c r="D168" s="4"/>
      <c r="E168" s="4"/>
      <c r="F168" s="4"/>
      <c r="G168" s="4"/>
      <c r="H168" s="2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23"/>
      <c r="Y168" s="4"/>
      <c r="Z168" s="4"/>
      <c r="AA168" s="4"/>
      <c r="AB168" s="4"/>
      <c r="AC168" s="4"/>
      <c r="AD168" s="4"/>
      <c r="AE168" s="4"/>
    </row>
    <row r="169" spans="1:31" ht="15.75" customHeight="1" x14ac:dyDescent="0.15">
      <c r="A169" s="4"/>
      <c r="B169" s="4"/>
      <c r="C169" s="4"/>
      <c r="D169" s="4"/>
      <c r="E169" s="4"/>
      <c r="F169" s="4"/>
      <c r="G169" s="4"/>
      <c r="H169" s="2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23"/>
      <c r="Y169" s="4"/>
      <c r="Z169" s="4"/>
      <c r="AA169" s="4"/>
      <c r="AB169" s="4"/>
      <c r="AC169" s="4"/>
      <c r="AD169" s="4"/>
      <c r="AE169" s="4"/>
    </row>
    <row r="170" spans="1:31" ht="15.75" customHeight="1" x14ac:dyDescent="0.15">
      <c r="A170" s="4"/>
      <c r="B170" s="4"/>
      <c r="C170" s="4"/>
      <c r="D170" s="4"/>
      <c r="E170" s="4"/>
      <c r="F170" s="4"/>
      <c r="G170" s="4"/>
      <c r="H170" s="2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23"/>
      <c r="Y170" s="4"/>
      <c r="Z170" s="4"/>
      <c r="AA170" s="4"/>
      <c r="AB170" s="4"/>
      <c r="AC170" s="4"/>
      <c r="AD170" s="4"/>
      <c r="AE170" s="4"/>
    </row>
    <row r="171" spans="1:31" ht="15.75" customHeight="1" x14ac:dyDescent="0.15">
      <c r="A171" s="4"/>
      <c r="B171" s="4"/>
      <c r="C171" s="4"/>
      <c r="D171" s="4"/>
      <c r="E171" s="4"/>
      <c r="F171" s="4"/>
      <c r="G171" s="4"/>
      <c r="H171" s="2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23"/>
      <c r="Y171" s="4"/>
      <c r="Z171" s="4"/>
      <c r="AA171" s="4"/>
      <c r="AB171" s="4"/>
      <c r="AC171" s="4"/>
      <c r="AD171" s="4"/>
      <c r="AE171" s="4"/>
    </row>
    <row r="172" spans="1:31" ht="15.75" customHeight="1" x14ac:dyDescent="0.15">
      <c r="A172" s="4"/>
      <c r="B172" s="4"/>
      <c r="C172" s="4"/>
      <c r="D172" s="4"/>
      <c r="E172" s="4"/>
      <c r="F172" s="4"/>
      <c r="G172" s="4"/>
      <c r="H172" s="2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23"/>
      <c r="Y172" s="4"/>
      <c r="Z172" s="4"/>
      <c r="AA172" s="4"/>
      <c r="AB172" s="4"/>
      <c r="AC172" s="4"/>
      <c r="AD172" s="4"/>
      <c r="AE172" s="4"/>
    </row>
    <row r="173" spans="1:31" ht="15.75" customHeight="1" x14ac:dyDescent="0.15">
      <c r="A173" s="4"/>
      <c r="B173" s="4"/>
      <c r="C173" s="4"/>
      <c r="D173" s="4"/>
      <c r="E173" s="4"/>
      <c r="F173" s="4"/>
      <c r="G173" s="4"/>
      <c r="H173" s="2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23"/>
      <c r="Y173" s="4"/>
      <c r="Z173" s="4"/>
      <c r="AA173" s="4"/>
      <c r="AB173" s="4"/>
      <c r="AC173" s="4"/>
      <c r="AD173" s="4"/>
      <c r="AE173" s="4"/>
    </row>
    <row r="174" spans="1:31" ht="15.75" customHeight="1" x14ac:dyDescent="0.15">
      <c r="A174" s="4"/>
      <c r="B174" s="4"/>
      <c r="C174" s="4"/>
      <c r="D174" s="4"/>
      <c r="E174" s="4"/>
      <c r="F174" s="4"/>
      <c r="G174" s="4"/>
      <c r="H174" s="2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23"/>
      <c r="Y174" s="4"/>
      <c r="Z174" s="4"/>
      <c r="AA174" s="4"/>
      <c r="AB174" s="4"/>
      <c r="AC174" s="4"/>
      <c r="AD174" s="4"/>
      <c r="AE174" s="4"/>
    </row>
    <row r="175" spans="1:31" ht="15.75" customHeight="1" x14ac:dyDescent="0.15">
      <c r="A175" s="4"/>
      <c r="B175" s="4"/>
      <c r="C175" s="4"/>
      <c r="D175" s="4"/>
      <c r="E175" s="4"/>
      <c r="F175" s="4"/>
      <c r="G175" s="4"/>
      <c r="H175" s="2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23"/>
      <c r="Y175" s="4"/>
      <c r="Z175" s="4"/>
      <c r="AA175" s="4"/>
      <c r="AB175" s="4"/>
      <c r="AC175" s="4"/>
      <c r="AD175" s="4"/>
      <c r="AE175" s="4"/>
    </row>
    <row r="176" spans="1:31" ht="15.75" customHeight="1" x14ac:dyDescent="0.15">
      <c r="A176" s="4"/>
      <c r="B176" s="4"/>
      <c r="C176" s="4"/>
      <c r="D176" s="4"/>
      <c r="E176" s="4"/>
      <c r="F176" s="4"/>
      <c r="G176" s="4"/>
      <c r="H176" s="2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23"/>
      <c r="Y176" s="4"/>
      <c r="Z176" s="4"/>
      <c r="AA176" s="4"/>
      <c r="AB176" s="4"/>
      <c r="AC176" s="4"/>
      <c r="AD176" s="4"/>
      <c r="AE176" s="4"/>
    </row>
    <row r="177" spans="1:31" ht="15.75" customHeight="1" x14ac:dyDescent="0.15">
      <c r="A177" s="4"/>
      <c r="B177" s="4"/>
      <c r="C177" s="4"/>
      <c r="D177" s="4"/>
      <c r="E177" s="4"/>
      <c r="F177" s="4"/>
      <c r="G177" s="4"/>
      <c r="H177" s="2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23"/>
      <c r="Y177" s="4"/>
      <c r="Z177" s="4"/>
      <c r="AA177" s="4"/>
      <c r="AB177" s="4"/>
      <c r="AC177" s="4"/>
      <c r="AD177" s="4"/>
      <c r="AE177" s="4"/>
    </row>
    <row r="178" spans="1:31" ht="15.75" customHeight="1" x14ac:dyDescent="0.15">
      <c r="A178" s="4"/>
      <c r="B178" s="4"/>
      <c r="C178" s="4"/>
      <c r="D178" s="4"/>
      <c r="E178" s="4"/>
      <c r="F178" s="4"/>
      <c r="G178" s="4"/>
      <c r="H178" s="2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23"/>
      <c r="Y178" s="4"/>
      <c r="Z178" s="4"/>
      <c r="AA178" s="4"/>
      <c r="AB178" s="4"/>
      <c r="AC178" s="4"/>
      <c r="AD178" s="4"/>
      <c r="AE178" s="4"/>
    </row>
    <row r="179" spans="1:31" ht="15.75" customHeight="1" x14ac:dyDescent="0.15">
      <c r="A179" s="4"/>
      <c r="B179" s="4"/>
      <c r="C179" s="4"/>
      <c r="D179" s="4"/>
      <c r="E179" s="4"/>
      <c r="F179" s="4"/>
      <c r="G179" s="4"/>
      <c r="H179" s="2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23"/>
      <c r="Y179" s="4"/>
      <c r="Z179" s="4"/>
      <c r="AA179" s="4"/>
      <c r="AB179" s="4"/>
      <c r="AC179" s="4"/>
      <c r="AD179" s="4"/>
      <c r="AE179" s="4"/>
    </row>
    <row r="180" spans="1:31" ht="15.75" customHeight="1" x14ac:dyDescent="0.15">
      <c r="A180" s="4"/>
      <c r="B180" s="4"/>
      <c r="C180" s="4"/>
      <c r="D180" s="4"/>
      <c r="E180" s="4"/>
      <c r="F180" s="4"/>
      <c r="G180" s="4"/>
      <c r="H180" s="2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23"/>
      <c r="Y180" s="4"/>
      <c r="Z180" s="4"/>
      <c r="AA180" s="4"/>
      <c r="AB180" s="4"/>
      <c r="AC180" s="4"/>
      <c r="AD180" s="4"/>
      <c r="AE180" s="4"/>
    </row>
    <row r="181" spans="1:31" ht="15.75" customHeight="1" x14ac:dyDescent="0.15">
      <c r="A181" s="4"/>
      <c r="B181" s="4"/>
      <c r="C181" s="4"/>
      <c r="D181" s="4"/>
      <c r="E181" s="4"/>
      <c r="F181" s="4"/>
      <c r="G181" s="4"/>
      <c r="H181" s="2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23"/>
      <c r="Y181" s="4"/>
      <c r="Z181" s="4"/>
      <c r="AA181" s="4"/>
      <c r="AB181" s="4"/>
      <c r="AC181" s="4"/>
      <c r="AD181" s="4"/>
      <c r="AE181" s="4"/>
    </row>
    <row r="182" spans="1:31" ht="15.75" customHeight="1" x14ac:dyDescent="0.15">
      <c r="A182" s="4"/>
      <c r="B182" s="4"/>
      <c r="C182" s="4"/>
      <c r="D182" s="4"/>
      <c r="E182" s="4"/>
      <c r="F182" s="4"/>
      <c r="G182" s="4"/>
      <c r="H182" s="2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23"/>
      <c r="Y182" s="4"/>
      <c r="Z182" s="4"/>
      <c r="AA182" s="4"/>
      <c r="AB182" s="4"/>
      <c r="AC182" s="4"/>
      <c r="AD182" s="4"/>
      <c r="AE182" s="4"/>
    </row>
    <row r="183" spans="1:31" ht="15.75" customHeight="1" x14ac:dyDescent="0.15">
      <c r="A183" s="4"/>
      <c r="B183" s="4"/>
      <c r="C183" s="4"/>
      <c r="D183" s="4"/>
      <c r="E183" s="4"/>
      <c r="F183" s="4"/>
      <c r="G183" s="4"/>
      <c r="H183" s="2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23"/>
      <c r="Y183" s="4"/>
      <c r="Z183" s="4"/>
      <c r="AA183" s="4"/>
      <c r="AB183" s="4"/>
      <c r="AC183" s="4"/>
      <c r="AD183" s="4"/>
      <c r="AE183" s="4"/>
    </row>
    <row r="184" spans="1:31" ht="15.75" customHeight="1" x14ac:dyDescent="0.15">
      <c r="A184" s="4"/>
      <c r="B184" s="4"/>
      <c r="C184" s="4"/>
      <c r="D184" s="4"/>
      <c r="E184" s="4"/>
      <c r="F184" s="4"/>
      <c r="G184" s="4"/>
      <c r="H184" s="2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23"/>
      <c r="Y184" s="4"/>
      <c r="Z184" s="4"/>
      <c r="AA184" s="4"/>
      <c r="AB184" s="4"/>
      <c r="AC184" s="4"/>
      <c r="AD184" s="4"/>
      <c r="AE184" s="4"/>
    </row>
    <row r="185" spans="1:31" ht="15.75" customHeight="1" x14ac:dyDescent="0.15">
      <c r="A185" s="4"/>
      <c r="B185" s="4"/>
      <c r="C185" s="4"/>
      <c r="D185" s="4"/>
      <c r="E185" s="4"/>
      <c r="F185" s="4"/>
      <c r="G185" s="4"/>
      <c r="H185" s="2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23"/>
      <c r="Y185" s="4"/>
      <c r="Z185" s="4"/>
      <c r="AA185" s="4"/>
      <c r="AB185" s="4"/>
      <c r="AC185" s="4"/>
      <c r="AD185" s="4"/>
      <c r="AE185" s="4"/>
    </row>
    <row r="186" spans="1:31" ht="15.75" customHeight="1" x14ac:dyDescent="0.15">
      <c r="A186" s="4"/>
      <c r="B186" s="4"/>
      <c r="C186" s="4"/>
      <c r="D186" s="4"/>
      <c r="E186" s="4"/>
      <c r="F186" s="4"/>
      <c r="G186" s="4"/>
      <c r="H186" s="2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23"/>
      <c r="Y186" s="4"/>
      <c r="Z186" s="4"/>
      <c r="AA186" s="4"/>
      <c r="AB186" s="4"/>
      <c r="AC186" s="4"/>
      <c r="AD186" s="4"/>
      <c r="AE186" s="4"/>
    </row>
    <row r="187" spans="1:31" ht="15.75" customHeight="1" x14ac:dyDescent="0.15">
      <c r="A187" s="4"/>
      <c r="B187" s="4"/>
      <c r="C187" s="4"/>
      <c r="D187" s="4"/>
      <c r="E187" s="4"/>
      <c r="F187" s="4"/>
      <c r="G187" s="4"/>
      <c r="H187" s="2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23"/>
      <c r="Y187" s="4"/>
      <c r="Z187" s="4"/>
      <c r="AA187" s="4"/>
      <c r="AB187" s="4"/>
      <c r="AC187" s="4"/>
      <c r="AD187" s="4"/>
      <c r="AE187" s="4"/>
    </row>
    <row r="188" spans="1:31" ht="15.75" customHeight="1" x14ac:dyDescent="0.15">
      <c r="A188" s="4"/>
      <c r="B188" s="4"/>
      <c r="C188" s="4"/>
      <c r="D188" s="4"/>
      <c r="E188" s="4"/>
      <c r="F188" s="4"/>
      <c r="G188" s="4"/>
      <c r="H188" s="2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23"/>
      <c r="Y188" s="4"/>
      <c r="Z188" s="4"/>
      <c r="AA188" s="4"/>
      <c r="AB188" s="4"/>
      <c r="AC188" s="4"/>
      <c r="AD188" s="4"/>
      <c r="AE188" s="4"/>
    </row>
    <row r="189" spans="1:31" ht="15.75" customHeight="1" x14ac:dyDescent="0.15">
      <c r="A189" s="4"/>
      <c r="B189" s="4"/>
      <c r="C189" s="4"/>
      <c r="D189" s="4"/>
      <c r="E189" s="4"/>
      <c r="F189" s="4"/>
      <c r="G189" s="4"/>
      <c r="H189" s="2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23"/>
      <c r="Y189" s="4"/>
      <c r="Z189" s="4"/>
      <c r="AA189" s="4"/>
      <c r="AB189" s="4"/>
      <c r="AC189" s="4"/>
      <c r="AD189" s="4"/>
      <c r="AE189" s="4"/>
    </row>
    <row r="190" spans="1:31" ht="15.75" customHeight="1" x14ac:dyDescent="0.15">
      <c r="A190" s="4"/>
      <c r="B190" s="4"/>
      <c r="C190" s="4"/>
      <c r="D190" s="4"/>
      <c r="E190" s="4"/>
      <c r="F190" s="4"/>
      <c r="G190" s="4"/>
      <c r="H190" s="2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23"/>
      <c r="Y190" s="4"/>
      <c r="Z190" s="4"/>
      <c r="AA190" s="4"/>
      <c r="AB190" s="4"/>
      <c r="AC190" s="4"/>
      <c r="AD190" s="4"/>
      <c r="AE190" s="4"/>
    </row>
    <row r="191" spans="1:31" ht="15.75" customHeight="1" x14ac:dyDescent="0.15">
      <c r="A191" s="4"/>
      <c r="B191" s="4"/>
      <c r="C191" s="4"/>
      <c r="D191" s="4"/>
      <c r="E191" s="4"/>
      <c r="F191" s="4"/>
      <c r="G191" s="4"/>
      <c r="H191" s="2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23"/>
      <c r="Y191" s="4"/>
      <c r="Z191" s="4"/>
      <c r="AA191" s="4"/>
      <c r="AB191" s="4"/>
      <c r="AC191" s="4"/>
      <c r="AD191" s="4"/>
      <c r="AE191" s="4"/>
    </row>
    <row r="192" spans="1:31" ht="15.75" customHeight="1" x14ac:dyDescent="0.15">
      <c r="A192" s="4"/>
      <c r="B192" s="4"/>
      <c r="C192" s="4"/>
      <c r="D192" s="4"/>
      <c r="E192" s="4"/>
      <c r="F192" s="4"/>
      <c r="G192" s="4"/>
      <c r="H192" s="2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23"/>
      <c r="Y192" s="4"/>
      <c r="Z192" s="4"/>
      <c r="AA192" s="4"/>
      <c r="AB192" s="4"/>
      <c r="AC192" s="4"/>
      <c r="AD192" s="4"/>
      <c r="AE192" s="4"/>
    </row>
    <row r="193" spans="1:31" ht="15.75" customHeight="1" x14ac:dyDescent="0.15">
      <c r="A193" s="4"/>
      <c r="B193" s="4"/>
      <c r="C193" s="4"/>
      <c r="D193" s="4"/>
      <c r="E193" s="4"/>
      <c r="F193" s="4"/>
      <c r="G193" s="4"/>
      <c r="H193" s="2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23"/>
      <c r="Y193" s="4"/>
      <c r="Z193" s="4"/>
      <c r="AA193" s="4"/>
      <c r="AB193" s="4"/>
      <c r="AC193" s="4"/>
      <c r="AD193" s="4"/>
      <c r="AE193" s="4"/>
    </row>
    <row r="194" spans="1:31" ht="15.75" customHeight="1" x14ac:dyDescent="0.15">
      <c r="A194" s="4"/>
      <c r="B194" s="4"/>
      <c r="C194" s="4"/>
      <c r="D194" s="4"/>
      <c r="E194" s="4"/>
      <c r="F194" s="4"/>
      <c r="G194" s="4"/>
      <c r="H194" s="2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23"/>
      <c r="Y194" s="4"/>
      <c r="Z194" s="4"/>
      <c r="AA194" s="4"/>
      <c r="AB194" s="4"/>
      <c r="AC194" s="4"/>
      <c r="AD194" s="4"/>
      <c r="AE194" s="4"/>
    </row>
    <row r="195" spans="1:31" ht="15.75" customHeight="1" x14ac:dyDescent="0.15">
      <c r="A195" s="4"/>
      <c r="B195" s="4"/>
      <c r="C195" s="4"/>
      <c r="D195" s="4"/>
      <c r="E195" s="4"/>
      <c r="F195" s="4"/>
      <c r="G195" s="4"/>
      <c r="H195" s="2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23"/>
      <c r="Y195" s="4"/>
      <c r="Z195" s="4"/>
      <c r="AA195" s="4"/>
      <c r="AB195" s="4"/>
      <c r="AC195" s="4"/>
      <c r="AD195" s="4"/>
      <c r="AE195" s="4"/>
    </row>
    <row r="196" spans="1:31" ht="15.75" customHeight="1" x14ac:dyDescent="0.15">
      <c r="A196" s="4"/>
      <c r="B196" s="4"/>
      <c r="C196" s="4"/>
      <c r="D196" s="4"/>
      <c r="E196" s="4"/>
      <c r="F196" s="4"/>
      <c r="G196" s="4"/>
      <c r="H196" s="2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23"/>
      <c r="Y196" s="4"/>
      <c r="Z196" s="4"/>
      <c r="AA196" s="4"/>
      <c r="AB196" s="4"/>
      <c r="AC196" s="4"/>
      <c r="AD196" s="4"/>
      <c r="AE196" s="4"/>
    </row>
    <row r="197" spans="1:31" ht="15.75" customHeight="1" x14ac:dyDescent="0.15">
      <c r="A197" s="4"/>
      <c r="B197" s="4"/>
      <c r="C197" s="4"/>
      <c r="D197" s="4"/>
      <c r="E197" s="4"/>
      <c r="F197" s="4"/>
      <c r="G197" s="4"/>
      <c r="H197" s="2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23"/>
      <c r="Y197" s="4"/>
      <c r="Z197" s="4"/>
      <c r="AA197" s="4"/>
      <c r="AB197" s="4"/>
      <c r="AC197" s="4"/>
      <c r="AD197" s="4"/>
      <c r="AE197" s="4"/>
    </row>
    <row r="198" spans="1:31" ht="15.75" customHeight="1" x14ac:dyDescent="0.15">
      <c r="A198" s="4"/>
      <c r="B198" s="4"/>
      <c r="C198" s="4"/>
      <c r="D198" s="4"/>
      <c r="E198" s="4"/>
      <c r="F198" s="4"/>
      <c r="G198" s="4"/>
      <c r="H198" s="2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23"/>
      <c r="Y198" s="4"/>
      <c r="Z198" s="4"/>
      <c r="AA198" s="4"/>
      <c r="AB198" s="4"/>
      <c r="AC198" s="4"/>
      <c r="AD198" s="4"/>
      <c r="AE198" s="4"/>
    </row>
    <row r="199" spans="1:31" ht="15.75" customHeight="1" x14ac:dyDescent="0.15">
      <c r="A199" s="4"/>
      <c r="B199" s="4"/>
      <c r="C199" s="4"/>
      <c r="D199" s="4"/>
      <c r="E199" s="4"/>
      <c r="F199" s="4"/>
      <c r="G199" s="4"/>
      <c r="H199" s="2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23"/>
      <c r="Y199" s="4"/>
      <c r="Z199" s="4"/>
      <c r="AA199" s="4"/>
      <c r="AB199" s="4"/>
      <c r="AC199" s="4"/>
      <c r="AD199" s="4"/>
      <c r="AE199" s="4"/>
    </row>
    <row r="200" spans="1:31" ht="15.75" customHeight="1" x14ac:dyDescent="0.15">
      <c r="A200" s="4"/>
      <c r="B200" s="4"/>
      <c r="C200" s="4"/>
      <c r="D200" s="4"/>
      <c r="E200" s="4"/>
      <c r="F200" s="4"/>
      <c r="G200" s="4"/>
      <c r="H200" s="2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23"/>
      <c r="Y200" s="4"/>
      <c r="Z200" s="4"/>
      <c r="AA200" s="4"/>
      <c r="AB200" s="4"/>
      <c r="AC200" s="4"/>
      <c r="AD200" s="4"/>
      <c r="AE200" s="4"/>
    </row>
    <row r="201" spans="1:31" ht="15.75" customHeight="1" x14ac:dyDescent="0.15">
      <c r="A201" s="4"/>
      <c r="B201" s="4"/>
      <c r="C201" s="4"/>
      <c r="D201" s="4"/>
      <c r="E201" s="4"/>
      <c r="F201" s="4"/>
      <c r="G201" s="4"/>
      <c r="H201" s="2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23"/>
      <c r="Y201" s="4"/>
      <c r="Z201" s="4"/>
      <c r="AA201" s="4"/>
      <c r="AB201" s="4"/>
      <c r="AC201" s="4"/>
      <c r="AD201" s="4"/>
      <c r="AE201" s="4"/>
    </row>
    <row r="202" spans="1:31" ht="15.75" customHeight="1" x14ac:dyDescent="0.15">
      <c r="A202" s="4"/>
      <c r="B202" s="4"/>
      <c r="C202" s="4"/>
      <c r="D202" s="4"/>
      <c r="E202" s="4"/>
      <c r="F202" s="4"/>
      <c r="G202" s="4"/>
      <c r="H202" s="2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23"/>
      <c r="Y202" s="4"/>
      <c r="Z202" s="4"/>
      <c r="AA202" s="4"/>
      <c r="AB202" s="4"/>
      <c r="AC202" s="4"/>
      <c r="AD202" s="4"/>
      <c r="AE202" s="4"/>
    </row>
    <row r="203" spans="1:31" ht="15.75" customHeight="1" x14ac:dyDescent="0.15">
      <c r="A203" s="4"/>
      <c r="B203" s="4"/>
      <c r="C203" s="4"/>
      <c r="D203" s="4"/>
      <c r="E203" s="4"/>
      <c r="F203" s="4"/>
      <c r="G203" s="4"/>
      <c r="H203" s="2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23"/>
      <c r="Y203" s="4"/>
      <c r="Z203" s="4"/>
      <c r="AA203" s="4"/>
      <c r="AB203" s="4"/>
      <c r="AC203" s="4"/>
      <c r="AD203" s="4"/>
      <c r="AE203" s="4"/>
    </row>
    <row r="204" spans="1:31" ht="15.75" customHeight="1" x14ac:dyDescent="0.15">
      <c r="A204" s="4"/>
      <c r="B204" s="4"/>
      <c r="C204" s="4"/>
      <c r="D204" s="4"/>
      <c r="E204" s="4"/>
      <c r="F204" s="4"/>
      <c r="G204" s="4"/>
      <c r="H204" s="2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23"/>
      <c r="Y204" s="4"/>
      <c r="Z204" s="4"/>
      <c r="AA204" s="4"/>
      <c r="AB204" s="4"/>
      <c r="AC204" s="4"/>
      <c r="AD204" s="4"/>
      <c r="AE204" s="4"/>
    </row>
    <row r="205" spans="1:31" ht="15.75" customHeight="1" x14ac:dyDescent="0.15">
      <c r="A205" s="4"/>
      <c r="B205" s="4"/>
      <c r="C205" s="4"/>
      <c r="D205" s="4"/>
      <c r="E205" s="4"/>
      <c r="F205" s="4"/>
      <c r="G205" s="4"/>
      <c r="H205" s="2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23"/>
      <c r="Y205" s="4"/>
      <c r="Z205" s="4"/>
      <c r="AA205" s="4"/>
      <c r="AB205" s="4"/>
      <c r="AC205" s="4"/>
      <c r="AD205" s="4"/>
      <c r="AE205" s="4"/>
    </row>
    <row r="206" spans="1:31" ht="15.75" customHeight="1" x14ac:dyDescent="0.15">
      <c r="A206" s="4"/>
      <c r="B206" s="4"/>
      <c r="C206" s="4"/>
      <c r="D206" s="4"/>
      <c r="E206" s="4"/>
      <c r="F206" s="4"/>
      <c r="G206" s="4"/>
      <c r="H206" s="2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23"/>
      <c r="Y206" s="4"/>
      <c r="Z206" s="4"/>
      <c r="AA206" s="4"/>
      <c r="AB206" s="4"/>
      <c r="AC206" s="4"/>
      <c r="AD206" s="4"/>
      <c r="AE206" s="4"/>
    </row>
    <row r="207" spans="1:31" ht="15.75" customHeight="1" x14ac:dyDescent="0.15">
      <c r="A207" s="4"/>
      <c r="B207" s="4"/>
      <c r="C207" s="4"/>
      <c r="D207" s="4"/>
      <c r="E207" s="4"/>
      <c r="F207" s="4"/>
      <c r="G207" s="4"/>
      <c r="H207" s="2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23"/>
      <c r="Y207" s="4"/>
      <c r="Z207" s="4"/>
      <c r="AA207" s="4"/>
      <c r="AB207" s="4"/>
      <c r="AC207" s="4"/>
      <c r="AD207" s="4"/>
      <c r="AE207" s="4"/>
    </row>
    <row r="208" spans="1:31" ht="15.75" customHeight="1" x14ac:dyDescent="0.15">
      <c r="A208" s="4"/>
      <c r="B208" s="4"/>
      <c r="C208" s="4"/>
      <c r="D208" s="4"/>
      <c r="E208" s="4"/>
      <c r="F208" s="4"/>
      <c r="G208" s="4"/>
      <c r="H208" s="2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23"/>
      <c r="Y208" s="4"/>
      <c r="Z208" s="4"/>
      <c r="AA208" s="4"/>
      <c r="AB208" s="4"/>
      <c r="AC208" s="4"/>
      <c r="AD208" s="4"/>
      <c r="AE208" s="4"/>
    </row>
    <row r="209" spans="1:31" ht="15.75" customHeight="1" x14ac:dyDescent="0.15">
      <c r="A209" s="4"/>
      <c r="B209" s="4"/>
      <c r="C209" s="4"/>
      <c r="D209" s="4"/>
      <c r="E209" s="4"/>
      <c r="F209" s="4"/>
      <c r="G209" s="4"/>
      <c r="H209" s="2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23"/>
      <c r="Y209" s="4"/>
      <c r="Z209" s="4"/>
      <c r="AA209" s="4"/>
      <c r="AB209" s="4"/>
      <c r="AC209" s="4"/>
      <c r="AD209" s="4"/>
      <c r="AE209" s="4"/>
    </row>
    <row r="210" spans="1:31" ht="15.75" customHeight="1" x14ac:dyDescent="0.15">
      <c r="A210" s="4"/>
      <c r="B210" s="4"/>
      <c r="C210" s="4"/>
      <c r="D210" s="4"/>
      <c r="E210" s="4"/>
      <c r="F210" s="4"/>
      <c r="G210" s="4"/>
      <c r="H210" s="2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23"/>
      <c r="Y210" s="4"/>
      <c r="Z210" s="4"/>
      <c r="AA210" s="4"/>
      <c r="AB210" s="4"/>
      <c r="AC210" s="4"/>
      <c r="AD210" s="4"/>
      <c r="AE210" s="4"/>
    </row>
    <row r="211" spans="1:31" ht="15.75" customHeight="1" x14ac:dyDescent="0.15">
      <c r="A211" s="4"/>
      <c r="B211" s="4"/>
      <c r="C211" s="4"/>
      <c r="D211" s="4"/>
      <c r="E211" s="4"/>
      <c r="F211" s="4"/>
      <c r="G211" s="4"/>
      <c r="H211" s="2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23"/>
      <c r="Y211" s="4"/>
      <c r="Z211" s="4"/>
      <c r="AA211" s="4"/>
      <c r="AB211" s="4"/>
      <c r="AC211" s="4"/>
      <c r="AD211" s="4"/>
      <c r="AE211" s="4"/>
    </row>
    <row r="212" spans="1:31" ht="15.75" customHeight="1" x14ac:dyDescent="0.15">
      <c r="A212" s="4"/>
      <c r="B212" s="4"/>
      <c r="C212" s="4"/>
      <c r="D212" s="4"/>
      <c r="E212" s="4"/>
      <c r="F212" s="4"/>
      <c r="G212" s="4"/>
      <c r="H212" s="2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23"/>
      <c r="Y212" s="4"/>
      <c r="Z212" s="4"/>
      <c r="AA212" s="4"/>
      <c r="AB212" s="4"/>
      <c r="AC212" s="4"/>
      <c r="AD212" s="4"/>
      <c r="AE212" s="4"/>
    </row>
    <row r="213" spans="1:31" ht="15.75" customHeight="1" x14ac:dyDescent="0.15">
      <c r="A213" s="4"/>
      <c r="B213" s="4"/>
      <c r="C213" s="4"/>
      <c r="D213" s="4"/>
      <c r="E213" s="4"/>
      <c r="F213" s="4"/>
      <c r="G213" s="4"/>
      <c r="H213" s="2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23"/>
      <c r="Y213" s="4"/>
      <c r="Z213" s="4"/>
      <c r="AA213" s="4"/>
      <c r="AB213" s="4"/>
      <c r="AC213" s="4"/>
      <c r="AD213" s="4"/>
      <c r="AE213" s="4"/>
    </row>
    <row r="214" spans="1:31" ht="15.75" customHeight="1" x14ac:dyDescent="0.15">
      <c r="A214" s="4"/>
      <c r="B214" s="4"/>
      <c r="C214" s="4"/>
      <c r="D214" s="4"/>
      <c r="E214" s="4"/>
      <c r="F214" s="4"/>
      <c r="G214" s="4"/>
      <c r="H214" s="2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23"/>
      <c r="Y214" s="4"/>
      <c r="Z214" s="4"/>
      <c r="AA214" s="4"/>
      <c r="AB214" s="4"/>
      <c r="AC214" s="4"/>
      <c r="AD214" s="4"/>
      <c r="AE214" s="4"/>
    </row>
    <row r="215" spans="1:31" ht="15.75" customHeight="1" x14ac:dyDescent="0.15">
      <c r="A215" s="4"/>
      <c r="B215" s="4"/>
      <c r="C215" s="4"/>
      <c r="D215" s="4"/>
      <c r="E215" s="4"/>
      <c r="F215" s="4"/>
      <c r="G215" s="4"/>
      <c r="H215" s="2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23"/>
      <c r="Y215" s="4"/>
      <c r="Z215" s="4"/>
      <c r="AA215" s="4"/>
      <c r="AB215" s="4"/>
      <c r="AC215" s="4"/>
      <c r="AD215" s="4"/>
      <c r="AE215" s="4"/>
    </row>
    <row r="216" spans="1:31" ht="15.75" customHeight="1" x14ac:dyDescent="0.15">
      <c r="A216" s="4"/>
      <c r="B216" s="4"/>
      <c r="C216" s="4"/>
      <c r="D216" s="4"/>
      <c r="E216" s="4"/>
      <c r="F216" s="4"/>
      <c r="G216" s="4"/>
      <c r="H216" s="2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23"/>
      <c r="Y216" s="4"/>
      <c r="Z216" s="4"/>
      <c r="AA216" s="4"/>
      <c r="AB216" s="4"/>
      <c r="AC216" s="4"/>
      <c r="AD216" s="4"/>
      <c r="AE216" s="4"/>
    </row>
    <row r="217" spans="1:31" ht="15.75" customHeight="1" x14ac:dyDescent="0.15">
      <c r="A217" s="4"/>
      <c r="B217" s="4"/>
      <c r="C217" s="4"/>
      <c r="D217" s="4"/>
      <c r="E217" s="4"/>
      <c r="F217" s="4"/>
      <c r="G217" s="4"/>
      <c r="H217" s="2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23"/>
      <c r="Y217" s="4"/>
      <c r="Z217" s="4"/>
      <c r="AA217" s="4"/>
      <c r="AB217" s="4"/>
      <c r="AC217" s="4"/>
      <c r="AD217" s="4"/>
      <c r="AE217" s="4"/>
    </row>
    <row r="218" spans="1:31" ht="15.75" customHeight="1" x14ac:dyDescent="0.15">
      <c r="A218" s="4"/>
      <c r="B218" s="4"/>
      <c r="C218" s="4"/>
      <c r="D218" s="4"/>
      <c r="E218" s="4"/>
      <c r="F218" s="4"/>
      <c r="G218" s="4"/>
      <c r="H218" s="2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23"/>
      <c r="Y218" s="4"/>
      <c r="Z218" s="4"/>
      <c r="AA218" s="4"/>
      <c r="AB218" s="4"/>
      <c r="AC218" s="4"/>
      <c r="AD218" s="4"/>
      <c r="AE218" s="4"/>
    </row>
    <row r="219" spans="1:31" ht="15.75" customHeight="1" x14ac:dyDescent="0.15">
      <c r="A219" s="4"/>
      <c r="B219" s="4"/>
      <c r="C219" s="4"/>
      <c r="D219" s="4"/>
      <c r="E219" s="4"/>
      <c r="F219" s="4"/>
      <c r="G219" s="4"/>
      <c r="H219" s="2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23"/>
      <c r="Y219" s="4"/>
      <c r="Z219" s="4"/>
      <c r="AA219" s="4"/>
      <c r="AB219" s="4"/>
      <c r="AC219" s="4"/>
      <c r="AD219" s="4"/>
      <c r="AE219" s="4"/>
    </row>
    <row r="220" spans="1:31" ht="15.75" customHeight="1" x14ac:dyDescent="0.15">
      <c r="A220" s="4"/>
      <c r="B220" s="4"/>
      <c r="C220" s="4"/>
      <c r="D220" s="4"/>
      <c r="E220" s="4"/>
      <c r="F220" s="4"/>
      <c r="G220" s="4"/>
      <c r="H220" s="2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23"/>
      <c r="Y220" s="4"/>
      <c r="Z220" s="4"/>
      <c r="AA220" s="4"/>
      <c r="AB220" s="4"/>
      <c r="AC220" s="4"/>
      <c r="AD220" s="4"/>
      <c r="AE220" s="4"/>
    </row>
    <row r="221" spans="1:31" ht="15.75" customHeight="1" x14ac:dyDescent="0.15">
      <c r="A221" s="4"/>
      <c r="B221" s="4"/>
      <c r="C221" s="4"/>
      <c r="D221" s="4"/>
      <c r="E221" s="4"/>
      <c r="F221" s="4"/>
      <c r="G221" s="4"/>
      <c r="H221" s="2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23"/>
      <c r="Y221" s="4"/>
      <c r="Z221" s="4"/>
      <c r="AA221" s="4"/>
      <c r="AB221" s="4"/>
      <c r="AC221" s="4"/>
      <c r="AD221" s="4"/>
      <c r="AE221" s="4"/>
    </row>
    <row r="222" spans="1:31" ht="15.75" customHeight="1" x14ac:dyDescent="0.15">
      <c r="A222" s="4"/>
      <c r="B222" s="4"/>
      <c r="C222" s="4"/>
      <c r="D222" s="4"/>
      <c r="E222" s="4"/>
      <c r="F222" s="4"/>
      <c r="G222" s="4"/>
      <c r="H222" s="2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23"/>
      <c r="Y222" s="4"/>
      <c r="Z222" s="4"/>
      <c r="AA222" s="4"/>
      <c r="AB222" s="4"/>
      <c r="AC222" s="4"/>
      <c r="AD222" s="4"/>
      <c r="AE222" s="4"/>
    </row>
    <row r="223" spans="1:31" ht="15.75" customHeight="1" x14ac:dyDescent="0.15">
      <c r="A223" s="4"/>
      <c r="B223" s="4"/>
      <c r="C223" s="4"/>
      <c r="D223" s="4"/>
      <c r="E223" s="4"/>
      <c r="F223" s="4"/>
      <c r="G223" s="4"/>
      <c r="H223" s="2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23"/>
      <c r="Y223" s="4"/>
      <c r="Z223" s="4"/>
      <c r="AA223" s="4"/>
      <c r="AB223" s="4"/>
      <c r="AC223" s="4"/>
      <c r="AD223" s="4"/>
      <c r="AE223" s="4"/>
    </row>
    <row r="224" spans="1:31" ht="15.75" customHeight="1" x14ac:dyDescent="0.15">
      <c r="A224" s="4"/>
      <c r="B224" s="4"/>
      <c r="C224" s="4"/>
      <c r="D224" s="4"/>
      <c r="E224" s="4"/>
      <c r="F224" s="4"/>
      <c r="G224" s="4"/>
      <c r="H224" s="2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23"/>
      <c r="Y224" s="4"/>
      <c r="Z224" s="4"/>
      <c r="AA224" s="4"/>
      <c r="AB224" s="4"/>
      <c r="AC224" s="4"/>
      <c r="AD224" s="4"/>
      <c r="AE224" s="4"/>
    </row>
    <row r="225" spans="1:31" ht="15.75" customHeight="1" x14ac:dyDescent="0.15">
      <c r="A225" s="4"/>
      <c r="B225" s="4"/>
      <c r="C225" s="4"/>
      <c r="D225" s="4"/>
      <c r="E225" s="4"/>
      <c r="F225" s="4"/>
      <c r="G225" s="4"/>
      <c r="H225" s="2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23"/>
      <c r="Y225" s="4"/>
      <c r="Z225" s="4"/>
      <c r="AA225" s="4"/>
      <c r="AB225" s="4"/>
      <c r="AC225" s="4"/>
      <c r="AD225" s="4"/>
      <c r="AE225" s="4"/>
    </row>
    <row r="226" spans="1:31" ht="15.75" customHeight="1" x14ac:dyDescent="0.15">
      <c r="A226" s="4"/>
      <c r="B226" s="4"/>
      <c r="C226" s="4"/>
      <c r="D226" s="4"/>
      <c r="E226" s="4"/>
      <c r="F226" s="4"/>
      <c r="G226" s="4"/>
      <c r="H226" s="2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23"/>
      <c r="Y226" s="4"/>
      <c r="Z226" s="4"/>
      <c r="AA226" s="4"/>
      <c r="AB226" s="4"/>
      <c r="AC226" s="4"/>
      <c r="AD226" s="4"/>
      <c r="AE226" s="4"/>
    </row>
    <row r="227" spans="1:31" ht="15.75" customHeight="1" x14ac:dyDescent="0.15">
      <c r="A227" s="4"/>
      <c r="B227" s="4"/>
      <c r="C227" s="4"/>
      <c r="D227" s="4"/>
      <c r="E227" s="4"/>
      <c r="F227" s="4"/>
      <c r="G227" s="4"/>
      <c r="H227" s="2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23"/>
      <c r="Y227" s="4"/>
      <c r="Z227" s="4"/>
      <c r="AA227" s="4"/>
      <c r="AB227" s="4"/>
      <c r="AC227" s="4"/>
      <c r="AD227" s="4"/>
      <c r="AE227" s="4"/>
    </row>
    <row r="228" spans="1:31" ht="15.75" customHeight="1" x14ac:dyDescent="0.15">
      <c r="A228" s="4"/>
      <c r="B228" s="4"/>
      <c r="C228" s="4"/>
      <c r="D228" s="4"/>
      <c r="E228" s="4"/>
      <c r="F228" s="4"/>
      <c r="G228" s="4"/>
      <c r="H228" s="2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23"/>
      <c r="Y228" s="4"/>
      <c r="Z228" s="4"/>
      <c r="AA228" s="4"/>
      <c r="AB228" s="4"/>
      <c r="AC228" s="4"/>
      <c r="AD228" s="4"/>
      <c r="AE228" s="4"/>
    </row>
    <row r="229" spans="1:31" ht="15.75" customHeight="1" x14ac:dyDescent="0.15">
      <c r="A229" s="4"/>
      <c r="B229" s="4"/>
      <c r="C229" s="4"/>
      <c r="D229" s="4"/>
      <c r="E229" s="4"/>
      <c r="F229" s="4"/>
      <c r="G229" s="4"/>
      <c r="H229" s="2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23"/>
      <c r="Y229" s="4"/>
      <c r="Z229" s="4"/>
      <c r="AA229" s="4"/>
      <c r="AB229" s="4"/>
      <c r="AC229" s="4"/>
      <c r="AD229" s="4"/>
      <c r="AE229" s="4"/>
    </row>
    <row r="230" spans="1:31" ht="15.75" customHeight="1" x14ac:dyDescent="0.15">
      <c r="A230" s="4"/>
      <c r="B230" s="4"/>
      <c r="C230" s="4"/>
      <c r="D230" s="4"/>
      <c r="E230" s="4"/>
      <c r="F230" s="4"/>
      <c r="G230" s="4"/>
      <c r="H230" s="2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23"/>
      <c r="Y230" s="4"/>
      <c r="Z230" s="4"/>
      <c r="AA230" s="4"/>
      <c r="AB230" s="4"/>
      <c r="AC230" s="4"/>
      <c r="AD230" s="4"/>
      <c r="AE230" s="4"/>
    </row>
    <row r="231" spans="1:31" ht="15.75" customHeight="1" x14ac:dyDescent="0.15">
      <c r="A231" s="4"/>
      <c r="B231" s="4"/>
      <c r="C231" s="4"/>
      <c r="D231" s="4"/>
      <c r="E231" s="4"/>
      <c r="F231" s="4"/>
      <c r="G231" s="4"/>
      <c r="H231" s="2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23"/>
      <c r="Y231" s="4"/>
      <c r="Z231" s="4"/>
      <c r="AA231" s="4"/>
      <c r="AB231" s="4"/>
      <c r="AC231" s="4"/>
      <c r="AD231" s="4"/>
      <c r="AE231" s="4"/>
    </row>
    <row r="232" spans="1:31" ht="15.75" customHeight="1" x14ac:dyDescent="0.15">
      <c r="A232" s="4"/>
      <c r="B232" s="4"/>
      <c r="C232" s="4"/>
      <c r="D232" s="4"/>
      <c r="E232" s="4"/>
      <c r="F232" s="4"/>
      <c r="G232" s="4"/>
      <c r="H232" s="2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23"/>
      <c r="Y232" s="4"/>
      <c r="Z232" s="4"/>
      <c r="AA232" s="4"/>
      <c r="AB232" s="4"/>
      <c r="AC232" s="4"/>
      <c r="AD232" s="4"/>
      <c r="AE232" s="4"/>
    </row>
    <row r="233" spans="1:31" ht="15.75" customHeight="1" x14ac:dyDescent="0.15">
      <c r="A233" s="4"/>
      <c r="B233" s="4"/>
      <c r="C233" s="4"/>
      <c r="D233" s="4"/>
      <c r="E233" s="4"/>
      <c r="F233" s="4"/>
      <c r="G233" s="4"/>
      <c r="H233" s="2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23"/>
      <c r="Y233" s="4"/>
      <c r="Z233" s="4"/>
      <c r="AA233" s="4"/>
      <c r="AB233" s="4"/>
      <c r="AC233" s="4"/>
      <c r="AD233" s="4"/>
      <c r="AE233" s="4"/>
    </row>
    <row r="234" spans="1:31" ht="15.75" customHeight="1" x14ac:dyDescent="0.15">
      <c r="A234" s="4"/>
      <c r="B234" s="4"/>
      <c r="C234" s="4"/>
      <c r="D234" s="4"/>
      <c r="E234" s="4"/>
      <c r="F234" s="4"/>
      <c r="G234" s="4"/>
      <c r="H234" s="2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23"/>
      <c r="Y234" s="4"/>
      <c r="Z234" s="4"/>
      <c r="AA234" s="4"/>
      <c r="AB234" s="4"/>
      <c r="AC234" s="4"/>
      <c r="AD234" s="4"/>
      <c r="AE234" s="4"/>
    </row>
    <row r="235" spans="1:31" ht="15.75" customHeight="1" x14ac:dyDescent="0.15">
      <c r="A235" s="4"/>
      <c r="B235" s="4"/>
      <c r="C235" s="4"/>
      <c r="D235" s="4"/>
      <c r="E235" s="4"/>
      <c r="F235" s="4"/>
      <c r="G235" s="4"/>
      <c r="H235" s="2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23"/>
      <c r="Y235" s="4"/>
      <c r="Z235" s="4"/>
      <c r="AA235" s="4"/>
      <c r="AB235" s="4"/>
      <c r="AC235" s="4"/>
      <c r="AD235" s="4"/>
      <c r="AE235" s="4"/>
    </row>
    <row r="236" spans="1:31" ht="15.75" customHeight="1" x14ac:dyDescent="0.15">
      <c r="A236" s="4"/>
      <c r="B236" s="4"/>
      <c r="C236" s="4"/>
      <c r="D236" s="4"/>
      <c r="E236" s="4"/>
      <c r="F236" s="4"/>
      <c r="G236" s="4"/>
      <c r="H236" s="2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23"/>
      <c r="Y236" s="4"/>
      <c r="Z236" s="4"/>
      <c r="AA236" s="4"/>
      <c r="AB236" s="4"/>
      <c r="AC236" s="4"/>
      <c r="AD236" s="4"/>
      <c r="AE236" s="4"/>
    </row>
    <row r="237" spans="1:31" ht="15.75" customHeight="1" x14ac:dyDescent="0.15">
      <c r="A237" s="4"/>
      <c r="B237" s="4"/>
      <c r="C237" s="4"/>
      <c r="D237" s="4"/>
      <c r="E237" s="4"/>
      <c r="F237" s="4"/>
      <c r="G237" s="4"/>
      <c r="H237" s="2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23"/>
      <c r="Y237" s="4"/>
      <c r="Z237" s="4"/>
      <c r="AA237" s="4"/>
      <c r="AB237" s="4"/>
      <c r="AC237" s="4"/>
      <c r="AD237" s="4"/>
      <c r="AE237" s="4"/>
    </row>
    <row r="238" spans="1:31" ht="15.75" customHeight="1" x14ac:dyDescent="0.15">
      <c r="A238" s="4"/>
      <c r="B238" s="4"/>
      <c r="C238" s="4"/>
      <c r="D238" s="4"/>
      <c r="E238" s="4"/>
      <c r="F238" s="4"/>
      <c r="G238" s="4"/>
      <c r="H238" s="2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23"/>
      <c r="Y238" s="4"/>
      <c r="Z238" s="4"/>
      <c r="AA238" s="4"/>
      <c r="AB238" s="4"/>
      <c r="AC238" s="4"/>
      <c r="AD238" s="4"/>
      <c r="AE238" s="4"/>
    </row>
    <row r="239" spans="1:31" ht="15.75" customHeight="1" x14ac:dyDescent="0.15">
      <c r="A239" s="4"/>
      <c r="B239" s="4"/>
      <c r="C239" s="4"/>
      <c r="D239" s="4"/>
      <c r="E239" s="4"/>
      <c r="F239" s="4"/>
      <c r="G239" s="4"/>
      <c r="H239" s="2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23"/>
      <c r="Y239" s="4"/>
      <c r="Z239" s="4"/>
      <c r="AA239" s="4"/>
      <c r="AB239" s="4"/>
      <c r="AC239" s="4"/>
      <c r="AD239" s="4"/>
      <c r="AE239" s="4"/>
    </row>
    <row r="240" spans="1:31" ht="15.75" customHeight="1" x14ac:dyDescent="0.15">
      <c r="A240" s="4"/>
      <c r="B240" s="4"/>
      <c r="C240" s="4"/>
      <c r="D240" s="4"/>
      <c r="E240" s="4"/>
      <c r="F240" s="4"/>
      <c r="G240" s="4"/>
      <c r="H240" s="2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23"/>
      <c r="Y240" s="4"/>
      <c r="Z240" s="4"/>
      <c r="AA240" s="4"/>
      <c r="AB240" s="4"/>
      <c r="AC240" s="4"/>
      <c r="AD240" s="4"/>
      <c r="AE240" s="4"/>
    </row>
    <row r="241" spans="1:31" ht="15.75" customHeight="1" x14ac:dyDescent="0.15">
      <c r="A241" s="4"/>
      <c r="B241" s="4"/>
      <c r="C241" s="4"/>
      <c r="D241" s="4"/>
      <c r="E241" s="4"/>
      <c r="F241" s="4"/>
      <c r="G241" s="4"/>
      <c r="H241" s="2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23"/>
      <c r="Y241" s="4"/>
      <c r="Z241" s="4"/>
      <c r="AA241" s="4"/>
      <c r="AB241" s="4"/>
      <c r="AC241" s="4"/>
      <c r="AD241" s="4"/>
      <c r="AE241" s="4"/>
    </row>
    <row r="242" spans="1:31" ht="15.75" customHeight="1" x14ac:dyDescent="0.15">
      <c r="A242" s="4"/>
      <c r="B242" s="4"/>
      <c r="C242" s="4"/>
      <c r="D242" s="4"/>
      <c r="E242" s="4"/>
      <c r="F242" s="4"/>
      <c r="G242" s="4"/>
      <c r="H242" s="2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23"/>
      <c r="Y242" s="4"/>
      <c r="Z242" s="4"/>
      <c r="AA242" s="4"/>
      <c r="AB242" s="4"/>
      <c r="AC242" s="4"/>
      <c r="AD242" s="4"/>
      <c r="AE242" s="4"/>
    </row>
    <row r="243" spans="1:31" ht="15.75" customHeight="1" x14ac:dyDescent="0.15">
      <c r="A243" s="4"/>
      <c r="B243" s="4"/>
      <c r="C243" s="4"/>
      <c r="D243" s="4"/>
      <c r="E243" s="4"/>
      <c r="F243" s="4"/>
      <c r="G243" s="4"/>
      <c r="H243" s="2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23"/>
      <c r="Y243" s="4"/>
      <c r="Z243" s="4"/>
      <c r="AA243" s="4"/>
      <c r="AB243" s="4"/>
      <c r="AC243" s="4"/>
      <c r="AD243" s="4"/>
      <c r="AE243" s="4"/>
    </row>
    <row r="244" spans="1:31" ht="15.75" customHeight="1" x14ac:dyDescent="0.15">
      <c r="A244" s="4"/>
      <c r="B244" s="4"/>
      <c r="C244" s="4"/>
      <c r="D244" s="4"/>
      <c r="E244" s="4"/>
      <c r="F244" s="4"/>
      <c r="G244" s="4"/>
      <c r="H244" s="2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23"/>
      <c r="Y244" s="4"/>
      <c r="Z244" s="4"/>
      <c r="AA244" s="4"/>
      <c r="AB244" s="4"/>
      <c r="AC244" s="4"/>
      <c r="AD244" s="4"/>
      <c r="AE244" s="4"/>
    </row>
    <row r="245" spans="1:31" ht="15.75" customHeight="1" x14ac:dyDescent="0.15">
      <c r="A245" s="4"/>
      <c r="B245" s="4"/>
      <c r="C245" s="4"/>
      <c r="D245" s="4"/>
      <c r="E245" s="4"/>
      <c r="F245" s="4"/>
      <c r="G245" s="4"/>
      <c r="H245" s="2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23"/>
      <c r="Y245" s="4"/>
      <c r="Z245" s="4"/>
      <c r="AA245" s="4"/>
      <c r="AB245" s="4"/>
      <c r="AC245" s="4"/>
      <c r="AD245" s="4"/>
      <c r="AE245" s="4"/>
    </row>
    <row r="246" spans="1:31" ht="15.75" customHeight="1" x14ac:dyDescent="0.15">
      <c r="A246" s="4"/>
      <c r="B246" s="4"/>
      <c r="C246" s="4"/>
      <c r="D246" s="4"/>
      <c r="E246" s="4"/>
      <c r="F246" s="4"/>
      <c r="G246" s="4"/>
      <c r="H246" s="2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23"/>
      <c r="Y246" s="4"/>
      <c r="Z246" s="4"/>
      <c r="AA246" s="4"/>
      <c r="AB246" s="4"/>
      <c r="AC246" s="4"/>
      <c r="AD246" s="4"/>
      <c r="AE246" s="4"/>
    </row>
    <row r="247" spans="1:31" ht="15.75" customHeight="1" x14ac:dyDescent="0.15">
      <c r="A247" s="4"/>
      <c r="B247" s="4"/>
      <c r="C247" s="4"/>
      <c r="D247" s="4"/>
      <c r="E247" s="4"/>
      <c r="F247" s="4"/>
      <c r="G247" s="4"/>
      <c r="H247" s="2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23"/>
      <c r="Y247" s="4"/>
      <c r="Z247" s="4"/>
      <c r="AA247" s="4"/>
      <c r="AB247" s="4"/>
      <c r="AC247" s="4"/>
      <c r="AD247" s="4"/>
      <c r="AE247" s="4"/>
    </row>
    <row r="248" spans="1:31" ht="15.75" customHeight="1" x14ac:dyDescent="0.15">
      <c r="A248" s="4"/>
      <c r="B248" s="4"/>
      <c r="C248" s="4"/>
      <c r="D248" s="4"/>
      <c r="E248" s="4"/>
      <c r="F248" s="4"/>
      <c r="G248" s="4"/>
      <c r="H248" s="2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23"/>
      <c r="Y248" s="4"/>
      <c r="Z248" s="4"/>
      <c r="AA248" s="4"/>
      <c r="AB248" s="4"/>
      <c r="AC248" s="4"/>
      <c r="AD248" s="4"/>
      <c r="AE248" s="4"/>
    </row>
    <row r="249" spans="1:31" ht="15.75" customHeight="1" x14ac:dyDescent="0.15">
      <c r="A249" s="4"/>
      <c r="B249" s="4"/>
      <c r="C249" s="4"/>
      <c r="D249" s="4"/>
      <c r="E249" s="4"/>
      <c r="F249" s="4"/>
      <c r="G249" s="4"/>
      <c r="H249" s="2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23"/>
      <c r="Y249" s="4"/>
      <c r="Z249" s="4"/>
      <c r="AA249" s="4"/>
      <c r="AB249" s="4"/>
      <c r="AC249" s="4"/>
      <c r="AD249" s="4"/>
      <c r="AE249" s="4"/>
    </row>
    <row r="250" spans="1:31" ht="15.75" customHeight="1" x14ac:dyDescent="0.15">
      <c r="A250" s="4"/>
      <c r="B250" s="4"/>
      <c r="C250" s="4"/>
      <c r="D250" s="4"/>
      <c r="E250" s="4"/>
      <c r="F250" s="4"/>
      <c r="G250" s="4"/>
      <c r="H250" s="2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23"/>
      <c r="Y250" s="4"/>
      <c r="Z250" s="4"/>
      <c r="AA250" s="4"/>
      <c r="AB250" s="4"/>
      <c r="AC250" s="4"/>
      <c r="AD250" s="4"/>
      <c r="AE250" s="4"/>
    </row>
    <row r="251" spans="1:31" ht="15.75" customHeight="1" x14ac:dyDescent="0.15">
      <c r="A251" s="4"/>
      <c r="B251" s="4"/>
      <c r="C251" s="4"/>
      <c r="D251" s="4"/>
      <c r="E251" s="4"/>
      <c r="F251" s="4"/>
      <c r="G251" s="4"/>
      <c r="H251" s="2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23"/>
      <c r="Y251" s="4"/>
      <c r="Z251" s="4"/>
      <c r="AA251" s="4"/>
      <c r="AB251" s="4"/>
      <c r="AC251" s="4"/>
      <c r="AD251" s="4"/>
      <c r="AE251" s="4"/>
    </row>
    <row r="252" spans="1:31" ht="15.75" customHeight="1" x14ac:dyDescent="0.15">
      <c r="A252" s="4"/>
      <c r="B252" s="4"/>
      <c r="C252" s="4"/>
      <c r="D252" s="4"/>
      <c r="E252" s="4"/>
      <c r="F252" s="4"/>
      <c r="G252" s="4"/>
      <c r="H252" s="2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23"/>
      <c r="Y252" s="4"/>
      <c r="Z252" s="4"/>
      <c r="AA252" s="4"/>
      <c r="AB252" s="4"/>
      <c r="AC252" s="4"/>
      <c r="AD252" s="4"/>
      <c r="AE252" s="4"/>
    </row>
    <row r="253" spans="1:31" ht="15.75" customHeight="1" x14ac:dyDescent="0.15">
      <c r="A253" s="4"/>
      <c r="B253" s="4"/>
      <c r="C253" s="4"/>
      <c r="D253" s="4"/>
      <c r="E253" s="4"/>
      <c r="F253" s="4"/>
      <c r="G253" s="4"/>
      <c r="H253" s="2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23"/>
      <c r="Y253" s="4"/>
      <c r="Z253" s="4"/>
      <c r="AA253" s="4"/>
      <c r="AB253" s="4"/>
      <c r="AC253" s="4"/>
      <c r="AD253" s="4"/>
      <c r="AE253" s="4"/>
    </row>
    <row r="254" spans="1:31" ht="15.75" customHeight="1" x14ac:dyDescent="0.15">
      <c r="A254" s="4"/>
      <c r="B254" s="4"/>
      <c r="C254" s="4"/>
      <c r="D254" s="4"/>
      <c r="E254" s="4"/>
      <c r="F254" s="4"/>
      <c r="G254" s="4"/>
      <c r="H254" s="2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23"/>
      <c r="Y254" s="4"/>
      <c r="Z254" s="4"/>
      <c r="AA254" s="4"/>
      <c r="AB254" s="4"/>
      <c r="AC254" s="4"/>
      <c r="AD254" s="4"/>
      <c r="AE254" s="4"/>
    </row>
    <row r="255" spans="1:31" ht="15.75" customHeight="1" x14ac:dyDescent="0.15">
      <c r="A255" s="4"/>
      <c r="B255" s="4"/>
      <c r="C255" s="4"/>
      <c r="D255" s="4"/>
      <c r="E255" s="4"/>
      <c r="F255" s="4"/>
      <c r="G255" s="4"/>
      <c r="H255" s="2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23"/>
      <c r="Y255" s="4"/>
      <c r="Z255" s="4"/>
      <c r="AA255" s="4"/>
      <c r="AB255" s="4"/>
      <c r="AC255" s="4"/>
      <c r="AD255" s="4"/>
      <c r="AE255" s="4"/>
    </row>
    <row r="256" spans="1:31" ht="15.75" customHeight="1" x14ac:dyDescent="0.15">
      <c r="A256" s="4"/>
      <c r="B256" s="4"/>
      <c r="C256" s="4"/>
      <c r="D256" s="4"/>
      <c r="E256" s="4"/>
      <c r="F256" s="4"/>
      <c r="G256" s="4"/>
      <c r="H256" s="2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23"/>
      <c r="Y256" s="4"/>
      <c r="Z256" s="4"/>
      <c r="AA256" s="4"/>
      <c r="AB256" s="4"/>
      <c r="AC256" s="4"/>
      <c r="AD256" s="4"/>
      <c r="AE256" s="4"/>
    </row>
    <row r="257" spans="1:31" ht="15.75" customHeight="1" x14ac:dyDescent="0.15">
      <c r="A257" s="4"/>
      <c r="B257" s="4"/>
      <c r="C257" s="4"/>
      <c r="D257" s="4"/>
      <c r="E257" s="4"/>
      <c r="F257" s="4"/>
      <c r="G257" s="4"/>
      <c r="H257" s="2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23"/>
      <c r="Y257" s="4"/>
      <c r="Z257" s="4"/>
      <c r="AA257" s="4"/>
      <c r="AB257" s="4"/>
      <c r="AC257" s="4"/>
      <c r="AD257" s="4"/>
      <c r="AE257" s="4"/>
    </row>
    <row r="258" spans="1:31" ht="15.75" customHeight="1" x14ac:dyDescent="0.15">
      <c r="A258" s="4"/>
      <c r="B258" s="4"/>
      <c r="C258" s="4"/>
      <c r="D258" s="4"/>
      <c r="E258" s="4"/>
      <c r="F258" s="4"/>
      <c r="G258" s="4"/>
      <c r="H258" s="2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23"/>
      <c r="Y258" s="4"/>
      <c r="Z258" s="4"/>
      <c r="AA258" s="4"/>
      <c r="AB258" s="4"/>
      <c r="AC258" s="4"/>
      <c r="AD258" s="4"/>
      <c r="AE258" s="4"/>
    </row>
    <row r="259" spans="1:31" ht="15.75" customHeight="1" x14ac:dyDescent="0.15">
      <c r="A259" s="4"/>
      <c r="B259" s="4"/>
      <c r="C259" s="4"/>
      <c r="D259" s="4"/>
      <c r="E259" s="4"/>
      <c r="F259" s="4"/>
      <c r="G259" s="4"/>
      <c r="H259" s="2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23"/>
      <c r="Y259" s="4"/>
      <c r="Z259" s="4"/>
      <c r="AA259" s="4"/>
      <c r="AB259" s="4"/>
      <c r="AC259" s="4"/>
      <c r="AD259" s="4"/>
      <c r="AE259" s="4"/>
    </row>
    <row r="260" spans="1:31" ht="15.75" customHeight="1" x14ac:dyDescent="0.15">
      <c r="A260" s="4"/>
      <c r="B260" s="4"/>
      <c r="C260" s="4"/>
      <c r="D260" s="4"/>
      <c r="E260" s="4"/>
      <c r="F260" s="4"/>
      <c r="G260" s="4"/>
      <c r="H260" s="2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23"/>
      <c r="Y260" s="4"/>
      <c r="Z260" s="4"/>
      <c r="AA260" s="4"/>
      <c r="AB260" s="4"/>
      <c r="AC260" s="4"/>
      <c r="AD260" s="4"/>
      <c r="AE260" s="4"/>
    </row>
    <row r="261" spans="1:31" ht="15.75" customHeight="1" x14ac:dyDescent="0.15">
      <c r="A261" s="4"/>
      <c r="B261" s="4"/>
      <c r="C261" s="4"/>
      <c r="D261" s="4"/>
      <c r="E261" s="4"/>
      <c r="F261" s="4"/>
      <c r="G261" s="4"/>
      <c r="H261" s="2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23"/>
      <c r="Y261" s="4"/>
      <c r="Z261" s="4"/>
      <c r="AA261" s="4"/>
      <c r="AB261" s="4"/>
      <c r="AC261" s="4"/>
      <c r="AD261" s="4"/>
      <c r="AE261" s="4"/>
    </row>
    <row r="262" spans="1:31" ht="15.75" customHeight="1" x14ac:dyDescent="0.15">
      <c r="A262" s="4"/>
      <c r="B262" s="4"/>
      <c r="C262" s="4"/>
      <c r="D262" s="4"/>
      <c r="E262" s="4"/>
      <c r="F262" s="4"/>
      <c r="G262" s="4"/>
      <c r="H262" s="2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23"/>
      <c r="Y262" s="4"/>
      <c r="Z262" s="4"/>
      <c r="AA262" s="4"/>
      <c r="AB262" s="4"/>
      <c r="AC262" s="4"/>
      <c r="AD262" s="4"/>
      <c r="AE262" s="4"/>
    </row>
    <row r="263" spans="1:31" ht="15.75" customHeight="1" x14ac:dyDescent="0.15">
      <c r="A263" s="4"/>
      <c r="B263" s="4"/>
      <c r="C263" s="4"/>
      <c r="D263" s="4"/>
      <c r="E263" s="4"/>
      <c r="F263" s="4"/>
      <c r="G263" s="4"/>
      <c r="H263" s="2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23"/>
      <c r="Y263" s="4"/>
      <c r="Z263" s="4"/>
      <c r="AA263" s="4"/>
      <c r="AB263" s="4"/>
      <c r="AC263" s="4"/>
      <c r="AD263" s="4"/>
      <c r="AE263" s="4"/>
    </row>
    <row r="264" spans="1:31" ht="15.75" customHeight="1" x14ac:dyDescent="0.15">
      <c r="A264" s="4"/>
      <c r="B264" s="4"/>
      <c r="C264" s="4"/>
      <c r="D264" s="4"/>
      <c r="E264" s="4"/>
      <c r="F264" s="4"/>
      <c r="G264" s="4"/>
      <c r="H264" s="2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23"/>
      <c r="Y264" s="4"/>
      <c r="Z264" s="4"/>
      <c r="AA264" s="4"/>
      <c r="AB264" s="4"/>
      <c r="AC264" s="4"/>
      <c r="AD264" s="4"/>
      <c r="AE264" s="4"/>
    </row>
    <row r="265" spans="1:31" ht="15.75" customHeight="1" x14ac:dyDescent="0.15">
      <c r="A265" s="4"/>
      <c r="B265" s="4"/>
      <c r="C265" s="4"/>
      <c r="D265" s="4"/>
      <c r="E265" s="4"/>
      <c r="F265" s="4"/>
      <c r="G265" s="4"/>
      <c r="H265" s="2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23"/>
      <c r="Y265" s="4"/>
      <c r="Z265" s="4"/>
      <c r="AA265" s="4"/>
      <c r="AB265" s="4"/>
      <c r="AC265" s="4"/>
      <c r="AD265" s="4"/>
      <c r="AE265" s="4"/>
    </row>
    <row r="266" spans="1:31" ht="15.75" customHeight="1" x14ac:dyDescent="0.15">
      <c r="A266" s="4"/>
      <c r="B266" s="4"/>
      <c r="C266" s="4"/>
      <c r="D266" s="4"/>
      <c r="E266" s="4"/>
      <c r="F266" s="4"/>
      <c r="G266" s="4"/>
      <c r="H266" s="2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23"/>
      <c r="Y266" s="4"/>
      <c r="Z266" s="4"/>
      <c r="AA266" s="4"/>
      <c r="AB266" s="4"/>
      <c r="AC266" s="4"/>
      <c r="AD266" s="4"/>
      <c r="AE266" s="4"/>
    </row>
    <row r="267" spans="1:31" ht="15.75" customHeight="1" x14ac:dyDescent="0.15">
      <c r="A267" s="4"/>
      <c r="B267" s="4"/>
      <c r="C267" s="4"/>
      <c r="D267" s="4"/>
      <c r="E267" s="4"/>
      <c r="F267" s="4"/>
      <c r="G267" s="4"/>
      <c r="H267" s="2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23"/>
      <c r="Y267" s="4"/>
      <c r="Z267" s="4"/>
      <c r="AA267" s="4"/>
      <c r="AB267" s="4"/>
      <c r="AC267" s="4"/>
      <c r="AD267" s="4"/>
      <c r="AE267" s="4"/>
    </row>
    <row r="268" spans="1:31" ht="15.75" customHeight="1" x14ac:dyDescent="0.15">
      <c r="A268" s="4"/>
      <c r="B268" s="4"/>
      <c r="C268" s="4"/>
      <c r="D268" s="4"/>
      <c r="E268" s="4"/>
      <c r="F268" s="4"/>
      <c r="G268" s="4"/>
      <c r="H268" s="2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23"/>
      <c r="Y268" s="4"/>
      <c r="Z268" s="4"/>
      <c r="AA268" s="4"/>
      <c r="AB268" s="4"/>
      <c r="AC268" s="4"/>
      <c r="AD268" s="4"/>
      <c r="AE268" s="4"/>
    </row>
    <row r="269" spans="1:31" ht="15.75" customHeight="1" x14ac:dyDescent="0.15">
      <c r="A269" s="4"/>
      <c r="B269" s="4"/>
      <c r="C269" s="4"/>
      <c r="D269" s="4"/>
      <c r="E269" s="4"/>
      <c r="F269" s="4"/>
      <c r="G269" s="4"/>
      <c r="H269" s="2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23"/>
      <c r="Y269" s="4"/>
      <c r="Z269" s="4"/>
      <c r="AA269" s="4"/>
      <c r="AB269" s="4"/>
      <c r="AC269" s="4"/>
      <c r="AD269" s="4"/>
      <c r="AE269" s="4"/>
    </row>
    <row r="270" spans="1:31" ht="15.75" customHeight="1" x14ac:dyDescent="0.15">
      <c r="A270" s="4"/>
      <c r="B270" s="4"/>
      <c r="C270" s="4"/>
      <c r="D270" s="4"/>
      <c r="E270" s="4"/>
      <c r="F270" s="4"/>
      <c r="G270" s="4"/>
      <c r="H270" s="2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23"/>
      <c r="Y270" s="4"/>
      <c r="Z270" s="4"/>
      <c r="AA270" s="4"/>
      <c r="AB270" s="4"/>
      <c r="AC270" s="4"/>
      <c r="AD270" s="4"/>
      <c r="AE270" s="4"/>
    </row>
    <row r="271" spans="1:31" ht="15.75" customHeight="1" x14ac:dyDescent="0.15">
      <c r="A271" s="4"/>
      <c r="B271" s="4"/>
      <c r="C271" s="4"/>
      <c r="D271" s="4"/>
      <c r="E271" s="4"/>
      <c r="F271" s="4"/>
      <c r="G271" s="4"/>
      <c r="H271" s="2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23"/>
      <c r="Y271" s="4"/>
      <c r="Z271" s="4"/>
      <c r="AA271" s="4"/>
      <c r="AB271" s="4"/>
      <c r="AC271" s="4"/>
      <c r="AD271" s="4"/>
      <c r="AE271" s="4"/>
    </row>
    <row r="272" spans="1:31" ht="15.75" customHeight="1" x14ac:dyDescent="0.15">
      <c r="A272" s="4"/>
      <c r="B272" s="4"/>
      <c r="C272" s="4"/>
      <c r="D272" s="4"/>
      <c r="E272" s="4"/>
      <c r="F272" s="4"/>
      <c r="G272" s="4"/>
      <c r="H272" s="2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23"/>
      <c r="Y272" s="4"/>
      <c r="Z272" s="4"/>
      <c r="AA272" s="4"/>
      <c r="AB272" s="4"/>
      <c r="AC272" s="4"/>
      <c r="AD272" s="4"/>
      <c r="AE272" s="4"/>
    </row>
    <row r="273" spans="1:31" ht="15.75" customHeight="1" x14ac:dyDescent="0.15">
      <c r="A273" s="4"/>
      <c r="B273" s="4"/>
      <c r="C273" s="4"/>
      <c r="D273" s="4"/>
      <c r="E273" s="4"/>
      <c r="F273" s="4"/>
      <c r="G273" s="4"/>
      <c r="H273" s="2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23"/>
      <c r="Y273" s="4"/>
      <c r="Z273" s="4"/>
      <c r="AA273" s="4"/>
      <c r="AB273" s="4"/>
      <c r="AC273" s="4"/>
      <c r="AD273" s="4"/>
      <c r="AE273" s="4"/>
    </row>
    <row r="274" spans="1:31" ht="15.75" customHeight="1" x14ac:dyDescent="0.15">
      <c r="A274" s="4"/>
      <c r="B274" s="4"/>
      <c r="C274" s="4"/>
      <c r="D274" s="4"/>
      <c r="E274" s="4"/>
      <c r="F274" s="4"/>
      <c r="G274" s="4"/>
      <c r="H274" s="2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23"/>
      <c r="Y274" s="4"/>
      <c r="Z274" s="4"/>
      <c r="AA274" s="4"/>
      <c r="AB274" s="4"/>
      <c r="AC274" s="4"/>
      <c r="AD274" s="4"/>
      <c r="AE274" s="4"/>
    </row>
    <row r="275" spans="1:31" ht="15.75" customHeight="1" x14ac:dyDescent="0.15">
      <c r="A275" s="4"/>
      <c r="B275" s="4"/>
      <c r="C275" s="4"/>
      <c r="D275" s="4"/>
      <c r="E275" s="4"/>
      <c r="F275" s="4"/>
      <c r="G275" s="4"/>
      <c r="H275" s="2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23"/>
      <c r="Y275" s="4"/>
      <c r="Z275" s="4"/>
      <c r="AA275" s="4"/>
      <c r="AB275" s="4"/>
      <c r="AC275" s="4"/>
      <c r="AD275" s="4"/>
      <c r="AE275" s="4"/>
    </row>
    <row r="276" spans="1:31" ht="15.75" customHeight="1" x14ac:dyDescent="0.15">
      <c r="A276" s="4"/>
      <c r="B276" s="4"/>
      <c r="C276" s="4"/>
      <c r="D276" s="4"/>
      <c r="E276" s="4"/>
      <c r="F276" s="4"/>
      <c r="G276" s="4"/>
      <c r="H276" s="2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23"/>
      <c r="Y276" s="4"/>
      <c r="Z276" s="4"/>
      <c r="AA276" s="4"/>
      <c r="AB276" s="4"/>
      <c r="AC276" s="4"/>
      <c r="AD276" s="4"/>
      <c r="AE276" s="4"/>
    </row>
    <row r="277" spans="1:31" ht="15.75" customHeight="1" x14ac:dyDescent="0.15">
      <c r="A277" s="4"/>
      <c r="B277" s="4"/>
      <c r="C277" s="4"/>
      <c r="D277" s="4"/>
      <c r="E277" s="4"/>
      <c r="F277" s="4"/>
      <c r="G277" s="4"/>
      <c r="H277" s="2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23"/>
      <c r="Y277" s="4"/>
      <c r="Z277" s="4"/>
      <c r="AA277" s="4"/>
      <c r="AB277" s="4"/>
      <c r="AC277" s="4"/>
      <c r="AD277" s="4"/>
      <c r="AE277" s="4"/>
    </row>
    <row r="278" spans="1:31" ht="15.75" customHeight="1" x14ac:dyDescent="0.15">
      <c r="A278" s="4"/>
      <c r="B278" s="4"/>
      <c r="C278" s="4"/>
      <c r="D278" s="4"/>
      <c r="E278" s="4"/>
      <c r="F278" s="4"/>
      <c r="G278" s="4"/>
      <c r="H278" s="2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23"/>
      <c r="Y278" s="4"/>
      <c r="Z278" s="4"/>
      <c r="AA278" s="4"/>
      <c r="AB278" s="4"/>
      <c r="AC278" s="4"/>
      <c r="AD278" s="4"/>
      <c r="AE278" s="4"/>
    </row>
    <row r="279" spans="1:31" ht="15.75" customHeight="1" x14ac:dyDescent="0.15">
      <c r="A279" s="4"/>
      <c r="B279" s="4"/>
      <c r="C279" s="4"/>
      <c r="D279" s="4"/>
      <c r="E279" s="4"/>
      <c r="F279" s="4"/>
      <c r="G279" s="4"/>
      <c r="H279" s="2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23"/>
      <c r="Y279" s="4"/>
      <c r="Z279" s="4"/>
      <c r="AA279" s="4"/>
      <c r="AB279" s="4"/>
      <c r="AC279" s="4"/>
      <c r="AD279" s="4"/>
      <c r="AE279" s="4"/>
    </row>
    <row r="280" spans="1:31" ht="15.75" customHeight="1" x14ac:dyDescent="0.15">
      <c r="A280" s="4"/>
      <c r="B280" s="4"/>
      <c r="C280" s="4"/>
      <c r="D280" s="4"/>
      <c r="E280" s="4"/>
      <c r="F280" s="4"/>
      <c r="G280" s="4"/>
      <c r="H280" s="2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23"/>
      <c r="Y280" s="4"/>
      <c r="Z280" s="4"/>
      <c r="AA280" s="4"/>
      <c r="AB280" s="4"/>
      <c r="AC280" s="4"/>
      <c r="AD280" s="4"/>
      <c r="AE280" s="4"/>
    </row>
    <row r="281" spans="1:31" ht="15.75" customHeight="1" x14ac:dyDescent="0.15">
      <c r="A281" s="4"/>
      <c r="B281" s="4"/>
      <c r="C281" s="4"/>
      <c r="D281" s="4"/>
      <c r="E281" s="4"/>
      <c r="F281" s="4"/>
      <c r="G281" s="4"/>
      <c r="H281" s="2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23"/>
      <c r="Y281" s="4"/>
      <c r="Z281" s="4"/>
      <c r="AA281" s="4"/>
      <c r="AB281" s="4"/>
      <c r="AC281" s="4"/>
      <c r="AD281" s="4"/>
      <c r="AE281" s="4"/>
    </row>
    <row r="282" spans="1:31" ht="15.75" customHeight="1" x14ac:dyDescent="0.15">
      <c r="A282" s="4"/>
      <c r="B282" s="4"/>
      <c r="C282" s="4"/>
      <c r="D282" s="4"/>
      <c r="E282" s="4"/>
      <c r="F282" s="4"/>
      <c r="G282" s="4"/>
      <c r="H282" s="2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23"/>
      <c r="Y282" s="4"/>
      <c r="Z282" s="4"/>
      <c r="AA282" s="4"/>
      <c r="AB282" s="4"/>
      <c r="AC282" s="4"/>
      <c r="AD282" s="4"/>
      <c r="AE282" s="4"/>
    </row>
    <row r="283" spans="1:31" ht="15.75" customHeight="1" x14ac:dyDescent="0.15">
      <c r="A283" s="4"/>
      <c r="B283" s="4"/>
      <c r="C283" s="4"/>
      <c r="D283" s="4"/>
      <c r="E283" s="4"/>
      <c r="F283" s="4"/>
      <c r="G283" s="4"/>
      <c r="H283" s="2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23"/>
      <c r="Y283" s="4"/>
      <c r="Z283" s="4"/>
      <c r="AA283" s="4"/>
      <c r="AB283" s="4"/>
      <c r="AC283" s="4"/>
      <c r="AD283" s="4"/>
      <c r="AE283" s="4"/>
    </row>
    <row r="284" spans="1:31" ht="15.75" customHeight="1" x14ac:dyDescent="0.15">
      <c r="A284" s="4"/>
      <c r="B284" s="4"/>
      <c r="C284" s="4"/>
      <c r="D284" s="4"/>
      <c r="E284" s="4"/>
      <c r="F284" s="4"/>
      <c r="G284" s="4"/>
      <c r="H284" s="2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23"/>
      <c r="Y284" s="4"/>
      <c r="Z284" s="4"/>
      <c r="AA284" s="4"/>
      <c r="AB284" s="4"/>
      <c r="AC284" s="4"/>
      <c r="AD284" s="4"/>
      <c r="AE284" s="4"/>
    </row>
    <row r="285" spans="1:31" ht="15.75" customHeight="1" x14ac:dyDescent="0.15">
      <c r="A285" s="4"/>
      <c r="B285" s="4"/>
      <c r="C285" s="4"/>
      <c r="D285" s="4"/>
      <c r="E285" s="4"/>
      <c r="F285" s="4"/>
      <c r="G285" s="4"/>
      <c r="H285" s="2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23"/>
      <c r="Y285" s="4"/>
      <c r="Z285" s="4"/>
      <c r="AA285" s="4"/>
      <c r="AB285" s="4"/>
      <c r="AC285" s="4"/>
      <c r="AD285" s="4"/>
      <c r="AE285" s="4"/>
    </row>
    <row r="286" spans="1:31" ht="15.75" customHeight="1" x14ac:dyDescent="0.15">
      <c r="A286" s="4"/>
      <c r="B286" s="4"/>
      <c r="C286" s="4"/>
      <c r="D286" s="4"/>
      <c r="E286" s="4"/>
      <c r="F286" s="4"/>
      <c r="G286" s="4"/>
      <c r="H286" s="2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23"/>
      <c r="Y286" s="4"/>
      <c r="Z286" s="4"/>
      <c r="AA286" s="4"/>
      <c r="AB286" s="4"/>
      <c r="AC286" s="4"/>
      <c r="AD286" s="4"/>
      <c r="AE286" s="4"/>
    </row>
    <row r="287" spans="1:31" ht="15.75" customHeight="1" x14ac:dyDescent="0.15">
      <c r="A287" s="4"/>
      <c r="B287" s="4"/>
      <c r="C287" s="4"/>
      <c r="D287" s="4"/>
      <c r="E287" s="4"/>
      <c r="F287" s="4"/>
      <c r="G287" s="4"/>
      <c r="H287" s="2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23"/>
      <c r="Y287" s="4"/>
      <c r="Z287" s="4"/>
      <c r="AA287" s="4"/>
      <c r="AB287" s="4"/>
      <c r="AC287" s="4"/>
      <c r="AD287" s="4"/>
      <c r="AE287" s="4"/>
    </row>
    <row r="288" spans="1:31" ht="15.75" customHeight="1" x14ac:dyDescent="0.15">
      <c r="A288" s="4"/>
      <c r="B288" s="4"/>
      <c r="C288" s="4"/>
      <c r="D288" s="4"/>
      <c r="E288" s="4"/>
      <c r="F288" s="4"/>
      <c r="G288" s="4"/>
      <c r="H288" s="2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23"/>
      <c r="Y288" s="4"/>
      <c r="Z288" s="4"/>
      <c r="AA288" s="4"/>
      <c r="AB288" s="4"/>
      <c r="AC288" s="4"/>
      <c r="AD288" s="4"/>
      <c r="AE288" s="4"/>
    </row>
    <row r="289" spans="1:31" ht="15.75" customHeight="1" x14ac:dyDescent="0.15">
      <c r="A289" s="4"/>
      <c r="B289" s="4"/>
      <c r="C289" s="4"/>
      <c r="D289" s="4"/>
      <c r="E289" s="4"/>
      <c r="F289" s="4"/>
      <c r="G289" s="4"/>
      <c r="H289" s="2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23"/>
      <c r="Y289" s="4"/>
      <c r="Z289" s="4"/>
      <c r="AA289" s="4"/>
      <c r="AB289" s="4"/>
      <c r="AC289" s="4"/>
      <c r="AD289" s="4"/>
      <c r="AE289" s="4"/>
    </row>
    <row r="290" spans="1:31" ht="15.75" customHeight="1" x14ac:dyDescent="0.15">
      <c r="A290" s="4"/>
      <c r="B290" s="4"/>
      <c r="C290" s="4"/>
      <c r="D290" s="4"/>
      <c r="E290" s="4"/>
      <c r="F290" s="4"/>
      <c r="G290" s="4"/>
      <c r="H290" s="2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23"/>
      <c r="Y290" s="4"/>
      <c r="Z290" s="4"/>
      <c r="AA290" s="4"/>
      <c r="AB290" s="4"/>
      <c r="AC290" s="4"/>
      <c r="AD290" s="4"/>
      <c r="AE290" s="4"/>
    </row>
    <row r="291" spans="1:31" ht="15.75" customHeight="1" x14ac:dyDescent="0.15">
      <c r="A291" s="4"/>
      <c r="B291" s="4"/>
      <c r="C291" s="4"/>
      <c r="D291" s="4"/>
      <c r="E291" s="4"/>
      <c r="F291" s="4"/>
      <c r="G291" s="4"/>
      <c r="H291" s="2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23"/>
      <c r="Y291" s="4"/>
      <c r="Z291" s="4"/>
      <c r="AA291" s="4"/>
      <c r="AB291" s="4"/>
      <c r="AC291" s="4"/>
      <c r="AD291" s="4"/>
      <c r="AE291" s="4"/>
    </row>
    <row r="292" spans="1:31" ht="15.75" customHeight="1" x14ac:dyDescent="0.15">
      <c r="A292" s="4"/>
      <c r="B292" s="4"/>
      <c r="C292" s="4"/>
      <c r="D292" s="4"/>
      <c r="E292" s="4"/>
      <c r="F292" s="4"/>
      <c r="G292" s="4"/>
      <c r="H292" s="2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23"/>
      <c r="Y292" s="4"/>
      <c r="Z292" s="4"/>
      <c r="AA292" s="4"/>
      <c r="AB292" s="4"/>
      <c r="AC292" s="4"/>
      <c r="AD292" s="4"/>
      <c r="AE292" s="4"/>
    </row>
    <row r="293" spans="1:31" ht="15.75" customHeight="1" x14ac:dyDescent="0.15">
      <c r="A293" s="4"/>
      <c r="B293" s="4"/>
      <c r="C293" s="4"/>
      <c r="D293" s="4"/>
      <c r="E293" s="4"/>
      <c r="F293" s="4"/>
      <c r="G293" s="4"/>
      <c r="H293" s="2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23"/>
      <c r="Y293" s="4"/>
      <c r="Z293" s="4"/>
      <c r="AA293" s="4"/>
      <c r="AB293" s="4"/>
      <c r="AC293" s="4"/>
      <c r="AD293" s="4"/>
      <c r="AE293" s="4"/>
    </row>
    <row r="294" spans="1:31" ht="15.75" customHeight="1" x14ac:dyDescent="0.15">
      <c r="A294" s="4"/>
      <c r="B294" s="4"/>
      <c r="C294" s="4"/>
      <c r="D294" s="4"/>
      <c r="E294" s="4"/>
      <c r="F294" s="4"/>
      <c r="G294" s="4"/>
      <c r="H294" s="2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23"/>
      <c r="Y294" s="4"/>
      <c r="Z294" s="4"/>
      <c r="AA294" s="4"/>
      <c r="AB294" s="4"/>
      <c r="AC294" s="4"/>
      <c r="AD294" s="4"/>
      <c r="AE294" s="4"/>
    </row>
    <row r="295" spans="1:31" ht="15.75" customHeight="1" x14ac:dyDescent="0.15">
      <c r="A295" s="4"/>
      <c r="B295" s="4"/>
      <c r="C295" s="4"/>
      <c r="D295" s="4"/>
      <c r="E295" s="4"/>
      <c r="F295" s="4"/>
      <c r="G295" s="4"/>
      <c r="H295" s="2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23"/>
      <c r="Y295" s="4"/>
      <c r="Z295" s="4"/>
      <c r="AA295" s="4"/>
      <c r="AB295" s="4"/>
      <c r="AC295" s="4"/>
      <c r="AD295" s="4"/>
      <c r="AE295" s="4"/>
    </row>
    <row r="296" spans="1:31" ht="15.75" customHeight="1" x14ac:dyDescent="0.15">
      <c r="A296" s="4"/>
      <c r="B296" s="4"/>
      <c r="C296" s="4"/>
      <c r="D296" s="4"/>
      <c r="E296" s="4"/>
      <c r="F296" s="4"/>
      <c r="G296" s="4"/>
      <c r="H296" s="2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23"/>
      <c r="Y296" s="4"/>
      <c r="Z296" s="4"/>
      <c r="AA296" s="4"/>
      <c r="AB296" s="4"/>
      <c r="AC296" s="4"/>
      <c r="AD296" s="4"/>
      <c r="AE296" s="4"/>
    </row>
    <row r="297" spans="1:31" ht="15.75" customHeight="1" x14ac:dyDescent="0.15">
      <c r="A297" s="4"/>
      <c r="B297" s="4"/>
      <c r="C297" s="4"/>
      <c r="D297" s="4"/>
      <c r="E297" s="4"/>
      <c r="F297" s="4"/>
      <c r="G297" s="4"/>
      <c r="H297" s="2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23"/>
      <c r="Y297" s="4"/>
      <c r="Z297" s="4"/>
      <c r="AA297" s="4"/>
      <c r="AB297" s="4"/>
      <c r="AC297" s="4"/>
      <c r="AD297" s="4"/>
      <c r="AE297" s="4"/>
    </row>
    <row r="298" spans="1:31" ht="15.75" customHeight="1" x14ac:dyDescent="0.15">
      <c r="A298" s="4"/>
      <c r="B298" s="4"/>
      <c r="C298" s="4"/>
      <c r="D298" s="4"/>
      <c r="E298" s="4"/>
      <c r="F298" s="4"/>
      <c r="G298" s="4"/>
      <c r="H298" s="2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23"/>
      <c r="Y298" s="4"/>
      <c r="Z298" s="4"/>
      <c r="AA298" s="4"/>
      <c r="AB298" s="4"/>
      <c r="AC298" s="4"/>
      <c r="AD298" s="4"/>
      <c r="AE298" s="4"/>
    </row>
    <row r="299" spans="1:31" ht="15.75" customHeight="1" x14ac:dyDescent="0.15">
      <c r="A299" s="4"/>
      <c r="B299" s="4"/>
      <c r="C299" s="4"/>
      <c r="D299" s="4"/>
      <c r="E299" s="4"/>
      <c r="F299" s="4"/>
      <c r="G299" s="4"/>
      <c r="H299" s="2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23"/>
      <c r="Y299" s="4"/>
      <c r="Z299" s="4"/>
      <c r="AA299" s="4"/>
      <c r="AB299" s="4"/>
      <c r="AC299" s="4"/>
      <c r="AD299" s="4"/>
      <c r="AE299" s="4"/>
    </row>
    <row r="300" spans="1:31" ht="15.75" customHeight="1" x14ac:dyDescent="0.15">
      <c r="A300" s="4"/>
      <c r="B300" s="4"/>
      <c r="C300" s="4"/>
      <c r="D300" s="4"/>
      <c r="E300" s="4"/>
      <c r="F300" s="4"/>
      <c r="G300" s="4"/>
      <c r="H300" s="2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23"/>
      <c r="Y300" s="4"/>
      <c r="Z300" s="4"/>
      <c r="AA300" s="4"/>
      <c r="AB300" s="4"/>
      <c r="AC300" s="4"/>
      <c r="AD300" s="4"/>
      <c r="AE300" s="4"/>
    </row>
    <row r="301" spans="1:31" ht="15.75" customHeight="1" x14ac:dyDescent="0.15">
      <c r="A301" s="4"/>
      <c r="B301" s="4"/>
      <c r="C301" s="4"/>
      <c r="D301" s="4"/>
      <c r="E301" s="4"/>
      <c r="F301" s="4"/>
      <c r="G301" s="4"/>
      <c r="H301" s="2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23"/>
      <c r="Y301" s="4"/>
      <c r="Z301" s="4"/>
      <c r="AA301" s="4"/>
      <c r="AB301" s="4"/>
      <c r="AC301" s="4"/>
      <c r="AD301" s="4"/>
      <c r="AE301" s="4"/>
    </row>
    <row r="302" spans="1:31" ht="15.75" customHeight="1" x14ac:dyDescent="0.15">
      <c r="A302" s="4"/>
      <c r="B302" s="4"/>
      <c r="C302" s="4"/>
      <c r="D302" s="4"/>
      <c r="E302" s="4"/>
      <c r="F302" s="4"/>
      <c r="G302" s="4"/>
      <c r="H302" s="2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23"/>
      <c r="Y302" s="4"/>
      <c r="Z302" s="4"/>
      <c r="AA302" s="4"/>
      <c r="AB302" s="4"/>
      <c r="AC302" s="4"/>
      <c r="AD302" s="4"/>
      <c r="AE302" s="4"/>
    </row>
    <row r="303" spans="1:31" ht="15.75" customHeight="1" x14ac:dyDescent="0.15">
      <c r="A303" s="4"/>
      <c r="B303" s="4"/>
      <c r="C303" s="4"/>
      <c r="D303" s="4"/>
      <c r="E303" s="4"/>
      <c r="F303" s="4"/>
      <c r="G303" s="4"/>
      <c r="H303" s="2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23"/>
      <c r="Y303" s="4"/>
      <c r="Z303" s="4"/>
      <c r="AA303" s="4"/>
      <c r="AB303" s="4"/>
      <c r="AC303" s="4"/>
      <c r="AD303" s="4"/>
      <c r="AE303" s="4"/>
    </row>
    <row r="304" spans="1:31" ht="15.75" customHeight="1" x14ac:dyDescent="0.15">
      <c r="A304" s="4"/>
      <c r="B304" s="4"/>
      <c r="C304" s="4"/>
      <c r="D304" s="4"/>
      <c r="E304" s="4"/>
      <c r="F304" s="4"/>
      <c r="G304" s="4"/>
      <c r="H304" s="2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23"/>
      <c r="Y304" s="4"/>
      <c r="Z304" s="4"/>
      <c r="AA304" s="4"/>
      <c r="AB304" s="4"/>
      <c r="AC304" s="4"/>
      <c r="AD304" s="4"/>
      <c r="AE304" s="4"/>
    </row>
    <row r="305" spans="1:31" ht="15.75" customHeight="1" x14ac:dyDescent="0.15">
      <c r="A305" s="4"/>
      <c r="B305" s="4"/>
      <c r="C305" s="4"/>
      <c r="D305" s="4"/>
      <c r="E305" s="4"/>
      <c r="F305" s="4"/>
      <c r="G305" s="4"/>
      <c r="H305" s="2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23"/>
      <c r="Y305" s="4"/>
      <c r="Z305" s="4"/>
      <c r="AA305" s="4"/>
      <c r="AB305" s="4"/>
      <c r="AC305" s="4"/>
      <c r="AD305" s="4"/>
      <c r="AE305" s="4"/>
    </row>
    <row r="306" spans="1:31" ht="15.75" customHeight="1" x14ac:dyDescent="0.15">
      <c r="A306" s="4"/>
      <c r="B306" s="4"/>
      <c r="C306" s="4"/>
      <c r="D306" s="4"/>
      <c r="E306" s="4"/>
      <c r="F306" s="4"/>
      <c r="G306" s="4"/>
      <c r="H306" s="2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23"/>
      <c r="Y306" s="4"/>
      <c r="Z306" s="4"/>
      <c r="AA306" s="4"/>
      <c r="AB306" s="4"/>
      <c r="AC306" s="4"/>
      <c r="AD306" s="4"/>
      <c r="AE306" s="4"/>
    </row>
    <row r="307" spans="1:31" ht="15.75" customHeight="1" x14ac:dyDescent="0.15">
      <c r="A307" s="4"/>
      <c r="B307" s="4"/>
      <c r="C307" s="4"/>
      <c r="D307" s="4"/>
      <c r="E307" s="4"/>
      <c r="F307" s="4"/>
      <c r="G307" s="4"/>
      <c r="H307" s="2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23"/>
      <c r="Y307" s="4"/>
      <c r="Z307" s="4"/>
      <c r="AA307" s="4"/>
      <c r="AB307" s="4"/>
      <c r="AC307" s="4"/>
      <c r="AD307" s="4"/>
      <c r="AE307" s="4"/>
    </row>
    <row r="308" spans="1:31" ht="15.75" customHeight="1" x14ac:dyDescent="0.15">
      <c r="A308" s="4"/>
      <c r="B308" s="4"/>
      <c r="C308" s="4"/>
      <c r="D308" s="4"/>
      <c r="E308" s="4"/>
      <c r="F308" s="4"/>
      <c r="G308" s="4"/>
      <c r="H308" s="2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23"/>
      <c r="Y308" s="4"/>
      <c r="Z308" s="4"/>
      <c r="AA308" s="4"/>
      <c r="AB308" s="4"/>
      <c r="AC308" s="4"/>
      <c r="AD308" s="4"/>
      <c r="AE308" s="4"/>
    </row>
    <row r="309" spans="1:31" ht="15.75" customHeight="1" x14ac:dyDescent="0.15">
      <c r="A309" s="4"/>
      <c r="B309" s="4"/>
      <c r="C309" s="4"/>
      <c r="D309" s="4"/>
      <c r="E309" s="4"/>
      <c r="F309" s="4"/>
      <c r="G309" s="4"/>
      <c r="H309" s="2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23"/>
      <c r="Y309" s="4"/>
      <c r="Z309" s="4"/>
      <c r="AA309" s="4"/>
      <c r="AB309" s="4"/>
      <c r="AC309" s="4"/>
      <c r="AD309" s="4"/>
      <c r="AE309" s="4"/>
    </row>
    <row r="310" spans="1:31" ht="15.75" customHeight="1" x14ac:dyDescent="0.15">
      <c r="A310" s="4"/>
      <c r="B310" s="4"/>
      <c r="C310" s="4"/>
      <c r="D310" s="4"/>
      <c r="E310" s="4"/>
      <c r="F310" s="4"/>
      <c r="G310" s="4"/>
      <c r="H310" s="2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23"/>
      <c r="Y310" s="4"/>
      <c r="Z310" s="4"/>
      <c r="AA310" s="4"/>
      <c r="AB310" s="4"/>
      <c r="AC310" s="4"/>
      <c r="AD310" s="4"/>
      <c r="AE310" s="4"/>
    </row>
    <row r="311" spans="1:31" ht="15.75" customHeight="1" x14ac:dyDescent="0.15">
      <c r="A311" s="4"/>
      <c r="B311" s="4"/>
      <c r="C311" s="4"/>
      <c r="D311" s="4"/>
      <c r="E311" s="4"/>
      <c r="F311" s="4"/>
      <c r="G311" s="4"/>
      <c r="H311" s="2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23"/>
      <c r="Y311" s="4"/>
      <c r="Z311" s="4"/>
      <c r="AA311" s="4"/>
      <c r="AB311" s="4"/>
      <c r="AC311" s="4"/>
      <c r="AD311" s="4"/>
      <c r="AE311" s="4"/>
    </row>
    <row r="312" spans="1:31" ht="15.75" customHeight="1" x14ac:dyDescent="0.15">
      <c r="A312" s="4"/>
      <c r="B312" s="4"/>
      <c r="C312" s="4"/>
      <c r="D312" s="4"/>
      <c r="E312" s="4"/>
      <c r="F312" s="4"/>
      <c r="G312" s="4"/>
      <c r="H312" s="2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23"/>
      <c r="Y312" s="4"/>
      <c r="Z312" s="4"/>
      <c r="AA312" s="4"/>
      <c r="AB312" s="4"/>
      <c r="AC312" s="4"/>
      <c r="AD312" s="4"/>
      <c r="AE312" s="4"/>
    </row>
    <row r="313" spans="1:31" ht="15.75" customHeight="1" x14ac:dyDescent="0.15">
      <c r="A313" s="4"/>
      <c r="B313" s="4"/>
      <c r="C313" s="4"/>
      <c r="D313" s="4"/>
      <c r="E313" s="4"/>
      <c r="F313" s="4"/>
      <c r="G313" s="4"/>
      <c r="H313" s="2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23"/>
      <c r="Y313" s="4"/>
      <c r="Z313" s="4"/>
      <c r="AA313" s="4"/>
      <c r="AB313" s="4"/>
      <c r="AC313" s="4"/>
      <c r="AD313" s="4"/>
      <c r="AE313" s="4"/>
    </row>
    <row r="314" spans="1:31" ht="15.75" customHeight="1" x14ac:dyDescent="0.15">
      <c r="A314" s="4"/>
      <c r="B314" s="4"/>
      <c r="C314" s="4"/>
      <c r="D314" s="4"/>
      <c r="E314" s="4"/>
      <c r="F314" s="4"/>
      <c r="G314" s="4"/>
      <c r="H314" s="2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23"/>
      <c r="Y314" s="4"/>
      <c r="Z314" s="4"/>
      <c r="AA314" s="4"/>
      <c r="AB314" s="4"/>
      <c r="AC314" s="4"/>
      <c r="AD314" s="4"/>
      <c r="AE314" s="4"/>
    </row>
    <row r="315" spans="1:31" ht="15.75" customHeight="1" x14ac:dyDescent="0.15">
      <c r="A315" s="4"/>
      <c r="B315" s="4"/>
      <c r="C315" s="4"/>
      <c r="D315" s="4"/>
      <c r="E315" s="4"/>
      <c r="F315" s="4"/>
      <c r="G315" s="4"/>
      <c r="H315" s="2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23"/>
      <c r="Y315" s="4"/>
      <c r="Z315" s="4"/>
      <c r="AA315" s="4"/>
      <c r="AB315" s="4"/>
      <c r="AC315" s="4"/>
      <c r="AD315" s="4"/>
      <c r="AE315" s="4"/>
    </row>
    <row r="316" spans="1:31" ht="15.75" customHeight="1" x14ac:dyDescent="0.15">
      <c r="A316" s="4"/>
      <c r="B316" s="4"/>
      <c r="C316" s="4"/>
      <c r="D316" s="4"/>
      <c r="E316" s="4"/>
      <c r="F316" s="4"/>
      <c r="G316" s="4"/>
      <c r="H316" s="2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23"/>
      <c r="Y316" s="4"/>
      <c r="Z316" s="4"/>
      <c r="AA316" s="4"/>
      <c r="AB316" s="4"/>
      <c r="AC316" s="4"/>
      <c r="AD316" s="4"/>
      <c r="AE316" s="4"/>
    </row>
    <row r="317" spans="1:31" ht="15.75" customHeight="1" x14ac:dyDescent="0.15">
      <c r="A317" s="4"/>
      <c r="B317" s="4"/>
      <c r="C317" s="4"/>
      <c r="D317" s="4"/>
      <c r="E317" s="4"/>
      <c r="F317" s="4"/>
      <c r="G317" s="4"/>
      <c r="H317" s="2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23"/>
      <c r="Y317" s="4"/>
      <c r="Z317" s="4"/>
      <c r="AA317" s="4"/>
      <c r="AB317" s="4"/>
      <c r="AC317" s="4"/>
      <c r="AD317" s="4"/>
      <c r="AE317" s="4"/>
    </row>
    <row r="318" spans="1:31" ht="15.75" customHeight="1" x14ac:dyDescent="0.15">
      <c r="A318" s="4"/>
      <c r="B318" s="4"/>
      <c r="C318" s="4"/>
      <c r="D318" s="4"/>
      <c r="E318" s="4"/>
      <c r="F318" s="4"/>
      <c r="G318" s="4"/>
      <c r="H318" s="2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23"/>
      <c r="Y318" s="4"/>
      <c r="Z318" s="4"/>
      <c r="AA318" s="4"/>
      <c r="AB318" s="4"/>
      <c r="AC318" s="4"/>
      <c r="AD318" s="4"/>
      <c r="AE318" s="4"/>
    </row>
    <row r="319" spans="1:31" ht="15.75" customHeight="1" x14ac:dyDescent="0.15">
      <c r="A319" s="4"/>
      <c r="B319" s="4"/>
      <c r="C319" s="4"/>
      <c r="D319" s="4"/>
      <c r="E319" s="4"/>
      <c r="F319" s="4"/>
      <c r="G319" s="4"/>
      <c r="H319" s="2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23"/>
      <c r="Y319" s="4"/>
      <c r="Z319" s="4"/>
      <c r="AA319" s="4"/>
      <c r="AB319" s="4"/>
      <c r="AC319" s="4"/>
      <c r="AD319" s="4"/>
      <c r="AE319" s="4"/>
    </row>
    <row r="320" spans="1:31" ht="15.75" customHeight="1" x14ac:dyDescent="0.15">
      <c r="A320" s="4"/>
      <c r="B320" s="4"/>
      <c r="C320" s="4"/>
      <c r="D320" s="4"/>
      <c r="E320" s="4"/>
      <c r="F320" s="4"/>
      <c r="G320" s="4"/>
      <c r="H320" s="2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23"/>
      <c r="Y320" s="4"/>
      <c r="Z320" s="4"/>
      <c r="AA320" s="4"/>
      <c r="AB320" s="4"/>
      <c r="AC320" s="4"/>
      <c r="AD320" s="4"/>
      <c r="AE320" s="4"/>
    </row>
    <row r="321" spans="1:31" ht="15.75" customHeight="1" x14ac:dyDescent="0.15">
      <c r="A321" s="4"/>
      <c r="B321" s="4"/>
      <c r="C321" s="4"/>
      <c r="D321" s="4"/>
      <c r="E321" s="4"/>
      <c r="F321" s="4"/>
      <c r="G321" s="4"/>
      <c r="H321" s="2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23"/>
      <c r="Y321" s="4"/>
      <c r="Z321" s="4"/>
      <c r="AA321" s="4"/>
      <c r="AB321" s="4"/>
      <c r="AC321" s="4"/>
      <c r="AD321" s="4"/>
      <c r="AE321" s="4"/>
    </row>
    <row r="322" spans="1:31" ht="15.75" customHeight="1" x14ac:dyDescent="0.15">
      <c r="A322" s="4"/>
      <c r="B322" s="4"/>
      <c r="C322" s="4"/>
      <c r="D322" s="4"/>
      <c r="E322" s="4"/>
      <c r="F322" s="4"/>
      <c r="G322" s="4"/>
      <c r="H322" s="2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23"/>
      <c r="Y322" s="4"/>
      <c r="Z322" s="4"/>
      <c r="AA322" s="4"/>
      <c r="AB322" s="4"/>
      <c r="AC322" s="4"/>
      <c r="AD322" s="4"/>
      <c r="AE322" s="4"/>
    </row>
    <row r="323" spans="1:31" ht="15.75" customHeight="1" x14ac:dyDescent="0.15">
      <c r="A323" s="4"/>
      <c r="B323" s="4"/>
      <c r="C323" s="4"/>
      <c r="D323" s="4"/>
      <c r="E323" s="4"/>
      <c r="F323" s="4"/>
      <c r="G323" s="4"/>
      <c r="H323" s="2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23"/>
      <c r="Y323" s="4"/>
      <c r="Z323" s="4"/>
      <c r="AA323" s="4"/>
      <c r="AB323" s="4"/>
      <c r="AC323" s="4"/>
      <c r="AD323" s="4"/>
      <c r="AE323" s="4"/>
    </row>
    <row r="324" spans="1:31" ht="15.75" customHeight="1" x14ac:dyDescent="0.15">
      <c r="A324" s="4"/>
      <c r="B324" s="4"/>
      <c r="C324" s="4"/>
      <c r="D324" s="4"/>
      <c r="E324" s="4"/>
      <c r="F324" s="4"/>
      <c r="G324" s="4"/>
      <c r="H324" s="2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23"/>
      <c r="Y324" s="4"/>
      <c r="Z324" s="4"/>
      <c r="AA324" s="4"/>
      <c r="AB324" s="4"/>
      <c r="AC324" s="4"/>
      <c r="AD324" s="4"/>
      <c r="AE324" s="4"/>
    </row>
    <row r="325" spans="1:31" ht="15.75" customHeight="1" x14ac:dyDescent="0.15">
      <c r="A325" s="4"/>
      <c r="B325" s="4"/>
      <c r="C325" s="4"/>
      <c r="D325" s="4"/>
      <c r="E325" s="4"/>
      <c r="F325" s="4"/>
      <c r="G325" s="4"/>
      <c r="H325" s="2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23"/>
      <c r="Y325" s="4"/>
      <c r="Z325" s="4"/>
      <c r="AA325" s="4"/>
      <c r="AB325" s="4"/>
      <c r="AC325" s="4"/>
      <c r="AD325" s="4"/>
      <c r="AE325" s="4"/>
    </row>
    <row r="326" spans="1:31" ht="15.75" customHeight="1" x14ac:dyDescent="0.15">
      <c r="A326" s="4"/>
      <c r="B326" s="4"/>
      <c r="C326" s="4"/>
      <c r="D326" s="4"/>
      <c r="E326" s="4"/>
      <c r="F326" s="4"/>
      <c r="G326" s="4"/>
      <c r="H326" s="2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23"/>
      <c r="Y326" s="4"/>
      <c r="Z326" s="4"/>
      <c r="AA326" s="4"/>
      <c r="AB326" s="4"/>
      <c r="AC326" s="4"/>
      <c r="AD326" s="4"/>
      <c r="AE326" s="4"/>
    </row>
    <row r="327" spans="1:31" ht="15.75" customHeight="1" x14ac:dyDescent="0.15">
      <c r="A327" s="4"/>
      <c r="B327" s="4"/>
      <c r="C327" s="4"/>
      <c r="D327" s="4"/>
      <c r="E327" s="4"/>
      <c r="F327" s="4"/>
      <c r="G327" s="4"/>
      <c r="H327" s="2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23"/>
      <c r="Y327" s="4"/>
      <c r="Z327" s="4"/>
      <c r="AA327" s="4"/>
      <c r="AB327" s="4"/>
      <c r="AC327" s="4"/>
      <c r="AD327" s="4"/>
      <c r="AE327" s="4"/>
    </row>
    <row r="328" spans="1:31" ht="15.75" customHeight="1" x14ac:dyDescent="0.15">
      <c r="A328" s="4"/>
      <c r="B328" s="4"/>
      <c r="C328" s="4"/>
      <c r="D328" s="4"/>
      <c r="E328" s="4"/>
      <c r="F328" s="4"/>
      <c r="G328" s="4"/>
      <c r="H328" s="2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23"/>
      <c r="Y328" s="4"/>
      <c r="Z328" s="4"/>
      <c r="AA328" s="4"/>
      <c r="AB328" s="4"/>
      <c r="AC328" s="4"/>
      <c r="AD328" s="4"/>
      <c r="AE328" s="4"/>
    </row>
    <row r="329" spans="1:31" ht="15.75" customHeight="1" x14ac:dyDescent="0.15">
      <c r="A329" s="4"/>
      <c r="B329" s="4"/>
      <c r="C329" s="4"/>
      <c r="D329" s="4"/>
      <c r="E329" s="4"/>
      <c r="F329" s="4"/>
      <c r="G329" s="4"/>
      <c r="H329" s="2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23"/>
      <c r="Y329" s="4"/>
      <c r="Z329" s="4"/>
      <c r="AA329" s="4"/>
      <c r="AB329" s="4"/>
      <c r="AC329" s="4"/>
      <c r="AD329" s="4"/>
      <c r="AE329" s="4"/>
    </row>
    <row r="330" spans="1:31" ht="15.75" customHeight="1" x14ac:dyDescent="0.15">
      <c r="A330" s="4"/>
      <c r="B330" s="4"/>
      <c r="C330" s="4"/>
      <c r="D330" s="4"/>
      <c r="E330" s="4"/>
      <c r="F330" s="4"/>
      <c r="G330" s="4"/>
      <c r="H330" s="2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23"/>
      <c r="Y330" s="4"/>
      <c r="Z330" s="4"/>
      <c r="AA330" s="4"/>
      <c r="AB330" s="4"/>
      <c r="AC330" s="4"/>
      <c r="AD330" s="4"/>
      <c r="AE330" s="4"/>
    </row>
    <row r="331" spans="1:31" ht="15.75" customHeight="1" x14ac:dyDescent="0.15">
      <c r="A331" s="4"/>
      <c r="B331" s="4"/>
      <c r="C331" s="4"/>
      <c r="D331" s="4"/>
      <c r="E331" s="4"/>
      <c r="F331" s="4"/>
      <c r="G331" s="4"/>
      <c r="H331" s="2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23"/>
      <c r="Y331" s="4"/>
      <c r="Z331" s="4"/>
      <c r="AA331" s="4"/>
      <c r="AB331" s="4"/>
      <c r="AC331" s="4"/>
      <c r="AD331" s="4"/>
      <c r="AE331" s="4"/>
    </row>
    <row r="332" spans="1:31" ht="15.75" customHeight="1" x14ac:dyDescent="0.15">
      <c r="A332" s="4"/>
      <c r="B332" s="4"/>
      <c r="C332" s="4"/>
      <c r="D332" s="4"/>
      <c r="E332" s="4"/>
      <c r="F332" s="4"/>
      <c r="G332" s="4"/>
      <c r="H332" s="2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23"/>
      <c r="Y332" s="4"/>
      <c r="Z332" s="4"/>
      <c r="AA332" s="4"/>
      <c r="AB332" s="4"/>
      <c r="AC332" s="4"/>
      <c r="AD332" s="4"/>
      <c r="AE332" s="4"/>
    </row>
    <row r="333" spans="1:31" ht="15.75" customHeight="1" x14ac:dyDescent="0.15">
      <c r="A333" s="4"/>
      <c r="B333" s="4"/>
      <c r="C333" s="4"/>
      <c r="D333" s="4"/>
      <c r="E333" s="4"/>
      <c r="F333" s="4"/>
      <c r="G333" s="4"/>
      <c r="H333" s="2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23"/>
      <c r="Y333" s="4"/>
      <c r="Z333" s="4"/>
      <c r="AA333" s="4"/>
      <c r="AB333" s="4"/>
      <c r="AC333" s="4"/>
      <c r="AD333" s="4"/>
      <c r="AE333" s="4"/>
    </row>
    <row r="334" spans="1:31" ht="15.75" customHeight="1" x14ac:dyDescent="0.15">
      <c r="A334" s="4"/>
      <c r="B334" s="4"/>
      <c r="C334" s="4"/>
      <c r="D334" s="4"/>
      <c r="E334" s="4"/>
      <c r="F334" s="4"/>
      <c r="G334" s="4"/>
      <c r="H334" s="2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23"/>
      <c r="Y334" s="4"/>
      <c r="Z334" s="4"/>
      <c r="AA334" s="4"/>
      <c r="AB334" s="4"/>
      <c r="AC334" s="4"/>
      <c r="AD334" s="4"/>
      <c r="AE334" s="4"/>
    </row>
    <row r="335" spans="1:31" ht="15.75" customHeight="1" x14ac:dyDescent="0.15">
      <c r="A335" s="4"/>
      <c r="B335" s="4"/>
      <c r="C335" s="4"/>
      <c r="D335" s="4"/>
      <c r="E335" s="4"/>
      <c r="F335" s="4"/>
      <c r="G335" s="4"/>
      <c r="H335" s="2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23"/>
      <c r="Y335" s="4"/>
      <c r="Z335" s="4"/>
      <c r="AA335" s="4"/>
      <c r="AB335" s="4"/>
      <c r="AC335" s="4"/>
      <c r="AD335" s="4"/>
      <c r="AE335" s="4"/>
    </row>
    <row r="336" spans="1:31" ht="15.75" customHeight="1" x14ac:dyDescent="0.15">
      <c r="A336" s="4"/>
      <c r="B336" s="4"/>
      <c r="C336" s="4"/>
      <c r="D336" s="4"/>
      <c r="E336" s="4"/>
      <c r="F336" s="4"/>
      <c r="G336" s="4"/>
      <c r="H336" s="2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23"/>
      <c r="Y336" s="4"/>
      <c r="Z336" s="4"/>
      <c r="AA336" s="4"/>
      <c r="AB336" s="4"/>
      <c r="AC336" s="4"/>
      <c r="AD336" s="4"/>
      <c r="AE336" s="4"/>
    </row>
    <row r="337" spans="1:31" ht="15.75" customHeight="1" x14ac:dyDescent="0.15">
      <c r="A337" s="4"/>
      <c r="B337" s="4"/>
      <c r="C337" s="4"/>
      <c r="D337" s="4"/>
      <c r="E337" s="4"/>
      <c r="F337" s="4"/>
      <c r="G337" s="4"/>
      <c r="H337" s="2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23"/>
      <c r="Y337" s="4"/>
      <c r="Z337" s="4"/>
      <c r="AA337" s="4"/>
      <c r="AB337" s="4"/>
      <c r="AC337" s="4"/>
      <c r="AD337" s="4"/>
      <c r="AE337" s="4"/>
    </row>
    <row r="338" spans="1:31" ht="15.75" customHeight="1" x14ac:dyDescent="0.15">
      <c r="A338" s="4"/>
      <c r="B338" s="4"/>
      <c r="C338" s="4"/>
      <c r="D338" s="4"/>
      <c r="E338" s="4"/>
      <c r="F338" s="4"/>
      <c r="G338" s="4"/>
      <c r="H338" s="2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23"/>
      <c r="Y338" s="4"/>
      <c r="Z338" s="4"/>
      <c r="AA338" s="4"/>
      <c r="AB338" s="4"/>
      <c r="AC338" s="4"/>
      <c r="AD338" s="4"/>
      <c r="AE338" s="4"/>
    </row>
    <row r="339" spans="1:31" ht="15.75" customHeight="1" x14ac:dyDescent="0.15">
      <c r="A339" s="4"/>
      <c r="B339" s="4"/>
      <c r="C339" s="4"/>
      <c r="D339" s="4"/>
      <c r="E339" s="4"/>
      <c r="F339" s="4"/>
      <c r="G339" s="4"/>
      <c r="H339" s="2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23"/>
      <c r="Y339" s="4"/>
      <c r="Z339" s="4"/>
      <c r="AA339" s="4"/>
      <c r="AB339" s="4"/>
      <c r="AC339" s="4"/>
      <c r="AD339" s="4"/>
      <c r="AE339" s="4"/>
    </row>
    <row r="340" spans="1:31" ht="15.75" customHeight="1" x14ac:dyDescent="0.15">
      <c r="A340" s="4"/>
      <c r="B340" s="4"/>
      <c r="C340" s="4"/>
      <c r="D340" s="4"/>
      <c r="E340" s="4"/>
      <c r="F340" s="4"/>
      <c r="G340" s="4"/>
      <c r="H340" s="2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23"/>
      <c r="Y340" s="4"/>
      <c r="Z340" s="4"/>
      <c r="AA340" s="4"/>
      <c r="AB340" s="4"/>
      <c r="AC340" s="4"/>
      <c r="AD340" s="4"/>
      <c r="AE340" s="4"/>
    </row>
    <row r="341" spans="1:31" ht="15.75" customHeight="1" x14ac:dyDescent="0.15">
      <c r="A341" s="4"/>
      <c r="B341" s="4"/>
      <c r="C341" s="4"/>
      <c r="D341" s="4"/>
      <c r="E341" s="4"/>
      <c r="F341" s="4"/>
      <c r="G341" s="4"/>
      <c r="H341" s="2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23"/>
      <c r="Y341" s="4"/>
      <c r="Z341" s="4"/>
      <c r="AA341" s="4"/>
      <c r="AB341" s="4"/>
      <c r="AC341" s="4"/>
      <c r="AD341" s="4"/>
      <c r="AE341" s="4"/>
    </row>
    <row r="342" spans="1:31" ht="15.75" customHeight="1" x14ac:dyDescent="0.15">
      <c r="A342" s="4"/>
      <c r="B342" s="4"/>
      <c r="C342" s="4"/>
      <c r="D342" s="4"/>
      <c r="E342" s="4"/>
      <c r="F342" s="4"/>
      <c r="G342" s="4"/>
      <c r="H342" s="2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23"/>
      <c r="Y342" s="4"/>
      <c r="Z342" s="4"/>
      <c r="AA342" s="4"/>
      <c r="AB342" s="4"/>
      <c r="AC342" s="4"/>
      <c r="AD342" s="4"/>
      <c r="AE342" s="4"/>
    </row>
    <row r="343" spans="1:31" ht="15.75" customHeight="1" x14ac:dyDescent="0.15">
      <c r="A343" s="4"/>
      <c r="B343" s="4"/>
      <c r="C343" s="4"/>
      <c r="D343" s="4"/>
      <c r="E343" s="4"/>
      <c r="F343" s="4"/>
      <c r="G343" s="4"/>
      <c r="H343" s="2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23"/>
      <c r="Y343" s="4"/>
      <c r="Z343" s="4"/>
      <c r="AA343" s="4"/>
      <c r="AB343" s="4"/>
      <c r="AC343" s="4"/>
      <c r="AD343" s="4"/>
      <c r="AE343" s="4"/>
    </row>
    <row r="344" spans="1:31" ht="15.75" customHeight="1" x14ac:dyDescent="0.15">
      <c r="A344" s="4"/>
      <c r="B344" s="4"/>
      <c r="C344" s="4"/>
      <c r="D344" s="4"/>
      <c r="E344" s="4"/>
      <c r="F344" s="4"/>
      <c r="G344" s="4"/>
      <c r="H344" s="2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23"/>
      <c r="Y344" s="4"/>
      <c r="Z344" s="4"/>
      <c r="AA344" s="4"/>
      <c r="AB344" s="4"/>
      <c r="AC344" s="4"/>
      <c r="AD344" s="4"/>
      <c r="AE344" s="4"/>
    </row>
    <row r="345" spans="1:31" ht="15.75" customHeight="1" x14ac:dyDescent="0.15">
      <c r="A345" s="4"/>
      <c r="B345" s="4"/>
      <c r="C345" s="4"/>
      <c r="D345" s="4"/>
      <c r="E345" s="4"/>
      <c r="F345" s="4"/>
      <c r="G345" s="4"/>
      <c r="H345" s="2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23"/>
      <c r="Y345" s="4"/>
      <c r="Z345" s="4"/>
      <c r="AA345" s="4"/>
      <c r="AB345" s="4"/>
      <c r="AC345" s="4"/>
      <c r="AD345" s="4"/>
      <c r="AE345" s="4"/>
    </row>
    <row r="346" spans="1:31" ht="15.75" customHeight="1" x14ac:dyDescent="0.15">
      <c r="A346" s="4"/>
      <c r="B346" s="4"/>
      <c r="C346" s="4"/>
      <c r="D346" s="4"/>
      <c r="E346" s="4"/>
      <c r="F346" s="4"/>
      <c r="G346" s="4"/>
      <c r="H346" s="2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23"/>
      <c r="Y346" s="4"/>
      <c r="Z346" s="4"/>
      <c r="AA346" s="4"/>
      <c r="AB346" s="4"/>
      <c r="AC346" s="4"/>
      <c r="AD346" s="4"/>
      <c r="AE346" s="4"/>
    </row>
    <row r="347" spans="1:31" ht="15.75" customHeight="1" x14ac:dyDescent="0.15">
      <c r="A347" s="4"/>
      <c r="B347" s="4"/>
      <c r="C347" s="4"/>
      <c r="D347" s="4"/>
      <c r="E347" s="4"/>
      <c r="F347" s="4"/>
      <c r="G347" s="4"/>
      <c r="H347" s="2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23"/>
      <c r="Y347" s="4"/>
      <c r="Z347" s="4"/>
      <c r="AA347" s="4"/>
      <c r="AB347" s="4"/>
      <c r="AC347" s="4"/>
      <c r="AD347" s="4"/>
      <c r="AE347" s="4"/>
    </row>
    <row r="348" spans="1:31" ht="15.75" customHeight="1" x14ac:dyDescent="0.15">
      <c r="A348" s="4"/>
      <c r="B348" s="4"/>
      <c r="C348" s="4"/>
      <c r="D348" s="4"/>
      <c r="E348" s="4"/>
      <c r="F348" s="4"/>
      <c r="G348" s="4"/>
      <c r="H348" s="2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23"/>
      <c r="Y348" s="4"/>
      <c r="Z348" s="4"/>
      <c r="AA348" s="4"/>
      <c r="AB348" s="4"/>
      <c r="AC348" s="4"/>
      <c r="AD348" s="4"/>
      <c r="AE348" s="4"/>
    </row>
    <row r="349" spans="1:31" ht="15.75" customHeight="1" x14ac:dyDescent="0.15">
      <c r="A349" s="4"/>
      <c r="B349" s="4"/>
      <c r="C349" s="4"/>
      <c r="D349" s="4"/>
      <c r="E349" s="4"/>
      <c r="F349" s="4"/>
      <c r="G349" s="4"/>
      <c r="H349" s="2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23"/>
      <c r="Y349" s="4"/>
      <c r="Z349" s="4"/>
      <c r="AA349" s="4"/>
      <c r="AB349" s="4"/>
      <c r="AC349" s="4"/>
      <c r="AD349" s="4"/>
      <c r="AE349" s="4"/>
    </row>
    <row r="350" spans="1:31" ht="15.75" customHeight="1" x14ac:dyDescent="0.15"/>
    <row r="351" spans="1:31" ht="15.75" customHeight="1" x14ac:dyDescent="0.15"/>
    <row r="352" spans="1:31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0">
    <mergeCell ref="P28:P29"/>
    <mergeCell ref="M15:N15"/>
    <mergeCell ref="M6:N6"/>
    <mergeCell ref="Q6:R6"/>
    <mergeCell ref="Q28:R29"/>
    <mergeCell ref="M18:N18"/>
    <mergeCell ref="Q24:R25"/>
    <mergeCell ref="Q9:R9"/>
    <mergeCell ref="P24:P25"/>
    <mergeCell ref="M8:N8"/>
    <mergeCell ref="M17:N17"/>
    <mergeCell ref="Q26:R27"/>
    <mergeCell ref="P26:P27"/>
    <mergeCell ref="M14:N14"/>
    <mergeCell ref="M19:N19"/>
    <mergeCell ref="Q10:R11"/>
    <mergeCell ref="M22:N22"/>
    <mergeCell ref="M16:N16"/>
    <mergeCell ref="M7:N7"/>
    <mergeCell ref="A1:J1"/>
    <mergeCell ref="M21:N21"/>
    <mergeCell ref="M20:N20"/>
    <mergeCell ref="M11:N13"/>
    <mergeCell ref="M10:N10"/>
    <mergeCell ref="Q13:R15"/>
    <mergeCell ref="P10:P11"/>
    <mergeCell ref="L11:L13"/>
    <mergeCell ref="Q16:R17"/>
    <mergeCell ref="Q19:R19"/>
    <mergeCell ref="P16:P17"/>
    <mergeCell ref="P7:P8"/>
    <mergeCell ref="P13:P15"/>
    <mergeCell ref="M9:N9"/>
    <mergeCell ref="Q18:R18"/>
    <mergeCell ref="Q22:R23"/>
    <mergeCell ref="Q21:R21"/>
    <mergeCell ref="P22:P23"/>
    <mergeCell ref="Q12:R12"/>
    <mergeCell ref="Q7:R8"/>
    <mergeCell ref="Q20:R20"/>
  </mergeCells>
  <hyperlinks>
    <hyperlink ref="D3" r:id="rId1" xr:uid="{00000000-0004-0000-0700-000000000000}"/>
    <hyperlink ref="D4" r:id="rId2" xr:uid="{00000000-0004-0000-0700-000001000000}"/>
    <hyperlink ref="D5" r:id="rId3" location="en_id7000000465" xr:uid="{00000000-0004-0000-0700-000002000000}"/>
    <hyperlink ref="D6" r:id="rId4" xr:uid="{00000000-0004-0000-0700-000003000000}"/>
    <hyperlink ref="D7" r:id="rId5" xr:uid="{00000000-0004-0000-0700-000004000000}"/>
    <hyperlink ref="D8" r:id="rId6" xr:uid="{00000000-0004-0000-0700-000005000000}"/>
    <hyperlink ref="D9" r:id="rId7" xr:uid="{00000000-0004-0000-0700-000006000000}"/>
    <hyperlink ref="D10" r:id="rId8" xr:uid="{00000000-0004-0000-0700-000007000000}"/>
    <hyperlink ref="D11" r:id="rId9" xr:uid="{00000000-0004-0000-0700-000008000000}"/>
    <hyperlink ref="D12" r:id="rId10" xr:uid="{00000000-0004-0000-0700-000009000000}"/>
    <hyperlink ref="D13" r:id="rId11" xr:uid="{00000000-0004-0000-0700-00000A000000}"/>
    <hyperlink ref="D14" r:id="rId12" xr:uid="{00000000-0004-0000-0700-00000B000000}"/>
    <hyperlink ref="D15" r:id="rId13" xr:uid="{00000000-0004-0000-0700-00000C000000}"/>
    <hyperlink ref="D16" r:id="rId14" xr:uid="{00000000-0004-0000-0700-00000D000000}"/>
    <hyperlink ref="D17" r:id="rId15" xr:uid="{00000000-0004-0000-0700-00000E000000}"/>
    <hyperlink ref="D18" r:id="rId16" xr:uid="{00000000-0004-0000-0700-00000F000000}"/>
    <hyperlink ref="D19" r:id="rId17" xr:uid="{00000000-0004-0000-0700-000010000000}"/>
    <hyperlink ref="D20" r:id="rId18" xr:uid="{00000000-0004-0000-0700-000011000000}"/>
    <hyperlink ref="D21" r:id="rId19" xr:uid="{00000000-0004-0000-0700-000012000000}"/>
    <hyperlink ref="D22" r:id="rId20" xr:uid="{00000000-0004-0000-0700-000013000000}"/>
    <hyperlink ref="D23" r:id="rId21" xr:uid="{00000000-0004-0000-0700-000014000000}"/>
    <hyperlink ref="D24" r:id="rId22" xr:uid="{00000000-0004-0000-0700-000015000000}"/>
    <hyperlink ref="D25" r:id="rId23" xr:uid="{00000000-0004-0000-0700-000016000000}"/>
    <hyperlink ref="D26" r:id="rId24" xr:uid="{00000000-0004-0000-0700-000017000000}"/>
    <hyperlink ref="D27" r:id="rId25" xr:uid="{00000000-0004-0000-0700-000018000000}"/>
    <hyperlink ref="D28" r:id="rId26" xr:uid="{00000000-0004-0000-0700-000019000000}"/>
    <hyperlink ref="D29" r:id="rId27" xr:uid="{00000000-0004-0000-0700-00001A000000}"/>
    <hyperlink ref="D30" r:id="rId28" xr:uid="{00000000-0004-0000-0700-00001B000000}"/>
    <hyperlink ref="D31" r:id="rId29" xr:uid="{00000000-0004-0000-0700-00001C000000}"/>
    <hyperlink ref="D32" r:id="rId30" xr:uid="{00000000-0004-0000-0700-00001D000000}"/>
    <hyperlink ref="D33" r:id="rId31" xr:uid="{00000000-0004-0000-0700-00001E000000}"/>
    <hyperlink ref="D34" r:id="rId32" xr:uid="{00000000-0004-0000-0700-00001F000000}"/>
    <hyperlink ref="D35" r:id="rId33" xr:uid="{00000000-0004-0000-0700-000020000000}"/>
    <hyperlink ref="D36" r:id="rId34" xr:uid="{00000000-0004-0000-0700-000021000000}"/>
    <hyperlink ref="D37" r:id="rId35" xr:uid="{00000000-0004-0000-0700-000022000000}"/>
    <hyperlink ref="D38" r:id="rId36" xr:uid="{00000000-0004-0000-0700-000023000000}"/>
    <hyperlink ref="D52" r:id="rId37" xr:uid="{00000000-0004-0000-0700-000024000000}"/>
    <hyperlink ref="D53" r:id="rId38" xr:uid="{00000000-0004-0000-0700-000025000000}"/>
    <hyperlink ref="D54" r:id="rId39" xr:uid="{00000000-0004-0000-0700-000026000000}"/>
    <hyperlink ref="D55" r:id="rId40" xr:uid="{00000000-0004-0000-0700-000027000000}"/>
    <hyperlink ref="D56" r:id="rId41" xr:uid="{00000000-0004-0000-0700-000028000000}"/>
    <hyperlink ref="D57" r:id="rId42" xr:uid="{00000000-0004-0000-0700-000029000000}"/>
    <hyperlink ref="D59" r:id="rId43" xr:uid="{00000000-0004-0000-0700-00002A000000}"/>
    <hyperlink ref="D60" r:id="rId44" xr:uid="{00000000-0004-0000-0700-00002B000000}"/>
    <hyperlink ref="D61" r:id="rId45" xr:uid="{00000000-0004-0000-0700-00002C000000}"/>
    <hyperlink ref="D62" r:id="rId46" xr:uid="{00000000-0004-0000-0700-00002D000000}"/>
    <hyperlink ref="D63" r:id="rId47" xr:uid="{00000000-0004-0000-0700-00002E000000}"/>
    <hyperlink ref="D64" r:id="rId48" xr:uid="{00000000-0004-0000-0700-00002F000000}"/>
    <hyperlink ref="D65" r:id="rId49" xr:uid="{00000000-0004-0000-0700-000030000000}"/>
    <hyperlink ref="D66" r:id="rId50" xr:uid="{00000000-0004-0000-0700-000031000000}"/>
    <hyperlink ref="D67" r:id="rId51" xr:uid="{00000000-0004-0000-0700-000032000000}"/>
    <hyperlink ref="D68" r:id="rId52" xr:uid="{00000000-0004-0000-0700-000033000000}"/>
    <hyperlink ref="D69" r:id="rId53" xr:uid="{00000000-0004-0000-0700-000034000000}"/>
    <hyperlink ref="D70" r:id="rId54" xr:uid="{00000000-0004-0000-0700-000035000000}"/>
    <hyperlink ref="D71" r:id="rId55" xr:uid="{00000000-0004-0000-0700-000036000000}"/>
    <hyperlink ref="D72" r:id="rId56" xr:uid="{00000000-0004-0000-0700-000037000000}"/>
    <hyperlink ref="D73" r:id="rId57" xr:uid="{00000000-0004-0000-0700-000038000000}"/>
    <hyperlink ref="D74" r:id="rId58" xr:uid="{00000000-0004-0000-0700-000039000000}"/>
    <hyperlink ref="D75" r:id="rId59" xr:uid="{00000000-0004-0000-0700-00003A000000}"/>
    <hyperlink ref="D76" r:id="rId60" xr:uid="{00000000-0004-0000-0700-00003B000000}"/>
    <hyperlink ref="D77" r:id="rId61" xr:uid="{00000000-0004-0000-0700-00003C000000}"/>
    <hyperlink ref="D78" r:id="rId62" xr:uid="{00000000-0004-0000-0700-00003D000000}"/>
    <hyperlink ref="D79" r:id="rId63" xr:uid="{00000000-0004-0000-0700-00003E000000}"/>
    <hyperlink ref="D80" r:id="rId64" xr:uid="{00000000-0004-0000-0700-00003F000000}"/>
    <hyperlink ref="D81" r:id="rId65" xr:uid="{00000000-0004-0000-0700-000040000000}"/>
    <hyperlink ref="D82" r:id="rId66" xr:uid="{00000000-0004-0000-0700-000041000000}"/>
    <hyperlink ref="D83" r:id="rId67" xr:uid="{00000000-0004-0000-0700-000042000000}"/>
    <hyperlink ref="D84" r:id="rId68" xr:uid="{00000000-0004-0000-0700-000043000000}"/>
    <hyperlink ref="D85" r:id="rId69" xr:uid="{00000000-0004-0000-0700-000044000000}"/>
    <hyperlink ref="D86" r:id="rId70" xr:uid="{00000000-0004-0000-0700-000045000000}"/>
    <hyperlink ref="D87" r:id="rId71" xr:uid="{00000000-0004-0000-0700-000046000000}"/>
    <hyperlink ref="D88" r:id="rId72" xr:uid="{00000000-0004-0000-0700-000047000000}"/>
    <hyperlink ref="D89" r:id="rId73" xr:uid="{00000000-0004-0000-0700-000048000000}"/>
    <hyperlink ref="D90" r:id="rId74" xr:uid="{00000000-0004-0000-0700-000049000000}"/>
    <hyperlink ref="D91" r:id="rId75" xr:uid="{00000000-0004-0000-0700-00004A000000}"/>
    <hyperlink ref="D92" r:id="rId76" xr:uid="{00000000-0004-0000-0700-00004B000000}"/>
    <hyperlink ref="D93" r:id="rId77" xr:uid="{00000000-0004-0000-0700-00004C000000}"/>
    <hyperlink ref="D94" r:id="rId78" xr:uid="{00000000-0004-0000-0700-00004D000000}"/>
    <hyperlink ref="D95" r:id="rId79" xr:uid="{00000000-0004-0000-0700-00004E000000}"/>
    <hyperlink ref="D96" r:id="rId80" xr:uid="{00000000-0004-0000-0700-00004F000000}"/>
    <hyperlink ref="D97" r:id="rId81" xr:uid="{00000000-0004-0000-0700-000050000000}"/>
    <hyperlink ref="D98" r:id="rId82" xr:uid="{00000000-0004-0000-0700-000051000000}"/>
    <hyperlink ref="D99" r:id="rId83" xr:uid="{00000000-0004-0000-0700-000052000000}"/>
    <hyperlink ref="D100" r:id="rId84" xr:uid="{00000000-0004-0000-0700-000053000000}"/>
    <hyperlink ref="D101" r:id="rId85" xr:uid="{00000000-0004-0000-0700-000054000000}"/>
    <hyperlink ref="D102" r:id="rId86" xr:uid="{00000000-0004-0000-0700-000055000000}"/>
    <hyperlink ref="D103" r:id="rId87" xr:uid="{00000000-0004-0000-0700-000056000000}"/>
    <hyperlink ref="D104" r:id="rId88" xr:uid="{00000000-0004-0000-0700-000057000000}"/>
    <hyperlink ref="D105" r:id="rId89" xr:uid="{00000000-0004-0000-0700-000058000000}"/>
    <hyperlink ref="D106" r:id="rId90" xr:uid="{00000000-0004-0000-0700-000059000000}"/>
    <hyperlink ref="D107" r:id="rId91" xr:uid="{00000000-0004-0000-0700-00005A000000}"/>
    <hyperlink ref="D108" r:id="rId92" xr:uid="{00000000-0004-0000-0700-00005B000000}"/>
    <hyperlink ref="D109" r:id="rId93" xr:uid="{00000000-0004-0000-0700-00005C000000}"/>
    <hyperlink ref="D110" r:id="rId94" xr:uid="{00000000-0004-0000-0700-00005D000000}"/>
    <hyperlink ref="D111" r:id="rId95" xr:uid="{00000000-0004-0000-0700-00005E000000}"/>
    <hyperlink ref="D112" r:id="rId96" xr:uid="{00000000-0004-0000-0700-00005F000000}"/>
    <hyperlink ref="D113" r:id="rId97" xr:uid="{00000000-0004-0000-0700-000060000000}"/>
    <hyperlink ref="D114" r:id="rId98" xr:uid="{00000000-0004-0000-0700-000061000000}"/>
    <hyperlink ref="D115" r:id="rId99" xr:uid="{00000000-0004-0000-0700-000062000000}"/>
    <hyperlink ref="D116" r:id="rId100" xr:uid="{00000000-0004-0000-0700-000063000000}"/>
    <hyperlink ref="D117" r:id="rId101" xr:uid="{00000000-0004-0000-0700-000064000000}"/>
    <hyperlink ref="D118" r:id="rId102" xr:uid="{00000000-0004-0000-0700-000065000000}"/>
    <hyperlink ref="D119" r:id="rId103" xr:uid="{00000000-0004-0000-0700-000066000000}"/>
    <hyperlink ref="D120" r:id="rId104" xr:uid="{00000000-0004-0000-0700-000067000000}"/>
    <hyperlink ref="D121" r:id="rId105" xr:uid="{00000000-0004-0000-0700-000068000000}"/>
    <hyperlink ref="D122" r:id="rId106" xr:uid="{00000000-0004-0000-0700-000069000000}"/>
    <hyperlink ref="D123" r:id="rId107" xr:uid="{00000000-0004-0000-0700-00006A000000}"/>
    <hyperlink ref="D124" r:id="rId108" xr:uid="{00000000-0004-0000-0700-00006B000000}"/>
    <hyperlink ref="D125" r:id="rId109" xr:uid="{00000000-0004-0000-0700-00006C000000}"/>
    <hyperlink ref="D126" r:id="rId110" xr:uid="{00000000-0004-0000-0700-00006D000000}"/>
    <hyperlink ref="D127" r:id="rId111" xr:uid="{00000000-0004-0000-0700-00006E000000}"/>
    <hyperlink ref="D128" r:id="rId112" xr:uid="{00000000-0004-0000-0700-00006F000000}"/>
    <hyperlink ref="D129" r:id="rId113" xr:uid="{00000000-0004-0000-0700-000070000000}"/>
    <hyperlink ref="D130" r:id="rId114" xr:uid="{00000000-0004-0000-0700-000071000000}"/>
    <hyperlink ref="D131" r:id="rId115" xr:uid="{00000000-0004-0000-0700-000072000000}"/>
    <hyperlink ref="D132" r:id="rId116" xr:uid="{00000000-0004-0000-0700-000073000000}"/>
    <hyperlink ref="D133" r:id="rId117" xr:uid="{00000000-0004-0000-0700-000074000000}"/>
    <hyperlink ref="D134" r:id="rId118" xr:uid="{00000000-0004-0000-0700-000075000000}"/>
    <hyperlink ref="D135" r:id="rId119" xr:uid="{00000000-0004-0000-0700-000076000000}"/>
    <hyperlink ref="D136" r:id="rId120" xr:uid="{00000000-0004-0000-0700-000077000000}"/>
    <hyperlink ref="D137" r:id="rId121" xr:uid="{00000000-0004-0000-0700-000078000000}"/>
    <hyperlink ref="D138" r:id="rId122" xr:uid="{00000000-0004-0000-0700-000079000000}"/>
    <hyperlink ref="D139" r:id="rId123" xr:uid="{00000000-0004-0000-0700-00007A000000}"/>
    <hyperlink ref="D140" r:id="rId124" xr:uid="{00000000-0004-0000-0700-00007B000000}"/>
    <hyperlink ref="D141" r:id="rId125" xr:uid="{00000000-0004-0000-0700-00007C000000}"/>
    <hyperlink ref="D142" r:id="rId126" xr:uid="{00000000-0004-0000-0700-00007D000000}"/>
    <hyperlink ref="D143" r:id="rId127" xr:uid="{00000000-0004-0000-0700-00007E000000}"/>
    <hyperlink ref="D144" r:id="rId128" xr:uid="{00000000-0004-0000-0700-00007F000000}"/>
    <hyperlink ref="D145" r:id="rId129" xr:uid="{00000000-0004-0000-0700-000080000000}"/>
    <hyperlink ref="D146" r:id="rId130" xr:uid="{00000000-0004-0000-0700-000081000000}"/>
    <hyperlink ref="D147" r:id="rId131" xr:uid="{00000000-0004-0000-0700-000082000000}"/>
    <hyperlink ref="D148" r:id="rId132" xr:uid="{00000000-0004-0000-0700-000083000000}"/>
    <hyperlink ref="D149" r:id="rId133" xr:uid="{00000000-0004-0000-0700-000084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J1000"/>
  <sheetViews>
    <sheetView workbookViewId="0">
      <selection activeCell="K2" sqref="K2"/>
    </sheetView>
  </sheetViews>
  <sheetFormatPr baseColWidth="10" defaultColWidth="12.6640625" defaultRowHeight="15" customHeight="1" x14ac:dyDescent="0.15"/>
  <cols>
    <col min="1" max="1" width="18.83203125" customWidth="1"/>
    <col min="2" max="3" width="30.83203125" customWidth="1"/>
    <col min="12" max="16" width="12.6640625" customWidth="1"/>
    <col min="17" max="17" width="15.1640625" customWidth="1"/>
    <col min="18" max="20" width="15.33203125" customWidth="1"/>
  </cols>
  <sheetData>
    <row r="1" spans="1:36" ht="15.75" customHeight="1" x14ac:dyDescent="0.15">
      <c r="A1" s="90" t="s">
        <v>817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.75" customHeight="1" x14ac:dyDescent="0.15">
      <c r="A2" s="16" t="s">
        <v>5</v>
      </c>
      <c r="B2" s="16" t="s">
        <v>239</v>
      </c>
      <c r="C2" s="16" t="s">
        <v>240</v>
      </c>
      <c r="D2" s="16" t="s">
        <v>1</v>
      </c>
      <c r="E2" s="16" t="s">
        <v>6</v>
      </c>
      <c r="F2" s="16" t="s">
        <v>2</v>
      </c>
      <c r="G2" s="16" t="s">
        <v>818</v>
      </c>
      <c r="H2" s="16" t="s">
        <v>241</v>
      </c>
      <c r="I2" s="16" t="s">
        <v>819</v>
      </c>
      <c r="J2" s="16" t="s">
        <v>820</v>
      </c>
      <c r="K2" s="16" t="s">
        <v>3</v>
      </c>
      <c r="L2" s="16" t="s">
        <v>821</v>
      </c>
      <c r="M2" s="16" t="s">
        <v>822</v>
      </c>
      <c r="N2" s="16" t="s">
        <v>823</v>
      </c>
      <c r="O2" s="16" t="s">
        <v>824</v>
      </c>
      <c r="P2" s="16" t="s">
        <v>825</v>
      </c>
      <c r="Q2" s="4"/>
      <c r="R2" s="20" t="s">
        <v>826</v>
      </c>
      <c r="S2" s="21" t="s">
        <v>230</v>
      </c>
      <c r="T2" s="21" t="s">
        <v>2</v>
      </c>
      <c r="U2" s="4"/>
      <c r="V2" s="4"/>
      <c r="W2" s="16"/>
      <c r="X2" s="4"/>
      <c r="Y2" s="4"/>
      <c r="Z2" s="4"/>
      <c r="AA2" s="4"/>
      <c r="AB2" s="4"/>
      <c r="AC2" s="27"/>
      <c r="AD2" s="4"/>
      <c r="AE2" s="4"/>
      <c r="AF2" s="4"/>
      <c r="AG2" s="4"/>
      <c r="AH2" s="4"/>
      <c r="AI2" s="4"/>
      <c r="AJ2" s="4"/>
    </row>
    <row r="3" spans="1:36" ht="15.75" customHeight="1" x14ac:dyDescent="0.15">
      <c r="A3" s="4" t="s">
        <v>827</v>
      </c>
      <c r="B3" s="4" t="s">
        <v>828</v>
      </c>
      <c r="C3" s="22" t="s">
        <v>829</v>
      </c>
      <c r="D3" s="4" t="s">
        <v>830</v>
      </c>
      <c r="E3" s="4" t="s">
        <v>14</v>
      </c>
      <c r="F3" s="4" t="s">
        <v>820</v>
      </c>
      <c r="G3" s="27">
        <v>22.5</v>
      </c>
      <c r="H3" s="4">
        <v>2028</v>
      </c>
      <c r="I3" s="4">
        <v>2609</v>
      </c>
      <c r="J3" s="4">
        <f>290</f>
        <v>290</v>
      </c>
      <c r="K3" s="29">
        <f t="shared" ref="K3:K35" si="0">G3*J3</f>
        <v>6525</v>
      </c>
      <c r="L3" s="29">
        <v>5</v>
      </c>
      <c r="M3" s="4">
        <v>11</v>
      </c>
      <c r="N3" s="29">
        <f t="shared" ref="N3:N35" si="1">K3/L3</f>
        <v>1305</v>
      </c>
      <c r="O3" s="29">
        <f t="shared" ref="O3:O35" si="2">K3/M3</f>
        <v>593.18181818181813</v>
      </c>
      <c r="P3" s="4" t="s">
        <v>826</v>
      </c>
      <c r="Q3" s="30"/>
      <c r="R3" s="24" t="s">
        <v>232</v>
      </c>
      <c r="S3" s="31">
        <f>AVERAGE(N3:N15,N18:N19,N23:N24,N29,N32:N33)*AVERAGE(L3:L15,L18:L19,L23:L24,L29,L32:L33)</f>
        <v>10046.482307904762</v>
      </c>
      <c r="T3" s="26" t="s">
        <v>831</v>
      </c>
      <c r="U3" s="4"/>
      <c r="V3" s="4"/>
      <c r="W3" s="4"/>
      <c r="X3" s="4"/>
      <c r="Y3" s="4"/>
      <c r="Z3" s="4"/>
      <c r="AA3" s="4"/>
      <c r="AB3" s="4"/>
      <c r="AC3" s="27"/>
      <c r="AD3" s="4"/>
      <c r="AE3" s="4"/>
      <c r="AF3" s="4"/>
      <c r="AG3" s="4"/>
      <c r="AH3" s="4"/>
      <c r="AI3" s="4"/>
      <c r="AJ3" s="4"/>
    </row>
    <row r="4" spans="1:36" ht="15.75" customHeight="1" x14ac:dyDescent="0.15">
      <c r="A4" s="4" t="s">
        <v>827</v>
      </c>
      <c r="B4" s="4" t="s">
        <v>832</v>
      </c>
      <c r="C4" s="22" t="s">
        <v>833</v>
      </c>
      <c r="D4" s="4" t="s">
        <v>830</v>
      </c>
      <c r="E4" s="4" t="s">
        <v>14</v>
      </c>
      <c r="F4" s="4" t="s">
        <v>820</v>
      </c>
      <c r="G4" s="27">
        <v>9.07</v>
      </c>
      <c r="H4" s="4">
        <v>2028</v>
      </c>
      <c r="I4" s="4">
        <v>7030</v>
      </c>
      <c r="J4" s="4">
        <v>2128</v>
      </c>
      <c r="K4" s="29">
        <f t="shared" si="0"/>
        <v>19300.96</v>
      </c>
      <c r="L4" s="29">
        <v>12</v>
      </c>
      <c r="M4" s="4">
        <v>35</v>
      </c>
      <c r="N4" s="29">
        <f t="shared" si="1"/>
        <v>1608.4133333333332</v>
      </c>
      <c r="O4" s="29">
        <f t="shared" si="2"/>
        <v>551.45600000000002</v>
      </c>
      <c r="P4" s="4" t="s">
        <v>826</v>
      </c>
      <c r="Q4" s="16"/>
      <c r="R4" s="24" t="s">
        <v>235</v>
      </c>
      <c r="S4" s="31">
        <f>_xlfn.STDEV.S(N3:N15,N18:N19,N23:N24,N29,N32:N33)*AVERAGE(L3:L15,L18:L19,L23:L24,L29,L32:L33)</f>
        <v>3060.4595967217806</v>
      </c>
      <c r="T4" s="26" t="s">
        <v>831</v>
      </c>
      <c r="U4" s="4"/>
      <c r="V4" s="4"/>
      <c r="W4" s="4"/>
      <c r="X4" s="4"/>
      <c r="Y4" s="4"/>
      <c r="Z4" s="4"/>
      <c r="AA4" s="4"/>
      <c r="AB4" s="4"/>
      <c r="AC4" s="27"/>
      <c r="AD4" s="4"/>
      <c r="AF4" s="4"/>
      <c r="AG4" s="4"/>
      <c r="AH4" s="4"/>
      <c r="AI4" s="4"/>
      <c r="AJ4" s="4"/>
    </row>
    <row r="5" spans="1:36" ht="15.75" customHeight="1" x14ac:dyDescent="0.15">
      <c r="A5" s="4" t="s">
        <v>827</v>
      </c>
      <c r="B5" s="4" t="s">
        <v>834</v>
      </c>
      <c r="C5" s="22" t="s">
        <v>835</v>
      </c>
      <c r="D5" s="4" t="s">
        <v>830</v>
      </c>
      <c r="E5" s="4" t="s">
        <v>14</v>
      </c>
      <c r="F5" s="4" t="s">
        <v>820</v>
      </c>
      <c r="G5" s="27">
        <v>3.03</v>
      </c>
      <c r="H5" s="4">
        <v>2028</v>
      </c>
      <c r="I5" s="4">
        <v>12564</v>
      </c>
      <c r="J5" s="4">
        <v>10625</v>
      </c>
      <c r="K5" s="29">
        <f t="shared" si="0"/>
        <v>32193.749999999996</v>
      </c>
      <c r="L5" s="29">
        <v>14</v>
      </c>
      <c r="M5" s="4">
        <v>63</v>
      </c>
      <c r="N5" s="29">
        <f t="shared" si="1"/>
        <v>2299.5535714285711</v>
      </c>
      <c r="O5" s="29">
        <f t="shared" si="2"/>
        <v>511.0119047619047</v>
      </c>
      <c r="P5" s="4" t="s">
        <v>826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27"/>
      <c r="AD5" s="4"/>
      <c r="AE5" s="4"/>
      <c r="AF5" s="4"/>
      <c r="AG5" s="4"/>
      <c r="AH5" s="4"/>
      <c r="AI5" s="4"/>
      <c r="AJ5" s="4"/>
    </row>
    <row r="6" spans="1:36" ht="15.75" customHeight="1" x14ac:dyDescent="0.15">
      <c r="A6" s="4" t="s">
        <v>827</v>
      </c>
      <c r="B6" s="4" t="s">
        <v>836</v>
      </c>
      <c r="C6" s="22" t="s">
        <v>837</v>
      </c>
      <c r="D6" s="4" t="s">
        <v>11</v>
      </c>
      <c r="E6" s="4" t="s">
        <v>14</v>
      </c>
      <c r="F6" s="4" t="s">
        <v>820</v>
      </c>
      <c r="G6" s="27">
        <v>9.48</v>
      </c>
      <c r="H6" s="4">
        <v>2027</v>
      </c>
      <c r="I6" s="4">
        <v>4789</v>
      </c>
      <c r="J6" s="4">
        <v>1268</v>
      </c>
      <c r="K6" s="29">
        <f t="shared" si="0"/>
        <v>12020.640000000001</v>
      </c>
      <c r="L6" s="29">
        <v>8</v>
      </c>
      <c r="M6" s="4">
        <v>21</v>
      </c>
      <c r="N6" s="29">
        <f t="shared" si="1"/>
        <v>1502.5800000000002</v>
      </c>
      <c r="O6" s="29">
        <f t="shared" si="2"/>
        <v>572.41142857142859</v>
      </c>
      <c r="P6" s="4" t="s">
        <v>826</v>
      </c>
      <c r="Q6" s="4"/>
      <c r="R6" s="20" t="s">
        <v>838</v>
      </c>
      <c r="S6" s="21" t="s">
        <v>230</v>
      </c>
      <c r="T6" s="21" t="s">
        <v>2</v>
      </c>
      <c r="U6" s="4"/>
      <c r="V6" s="4"/>
      <c r="W6" s="4"/>
      <c r="X6" s="4"/>
      <c r="Y6" s="4"/>
      <c r="Z6" s="4"/>
      <c r="AA6" s="4"/>
      <c r="AB6" s="4"/>
      <c r="AC6" s="27"/>
      <c r="AD6" s="4"/>
      <c r="AE6" s="4"/>
      <c r="AF6" s="4"/>
      <c r="AG6" s="4"/>
      <c r="AH6" s="4"/>
      <c r="AI6" s="4"/>
      <c r="AJ6" s="4"/>
    </row>
    <row r="7" spans="1:36" ht="15.75" customHeight="1" x14ac:dyDescent="0.15">
      <c r="A7" s="4" t="s">
        <v>827</v>
      </c>
      <c r="B7" s="4" t="s">
        <v>839</v>
      </c>
      <c r="C7" s="22" t="s">
        <v>837</v>
      </c>
      <c r="D7" s="4" t="s">
        <v>11</v>
      </c>
      <c r="E7" s="4" t="s">
        <v>14</v>
      </c>
      <c r="F7" s="4" t="s">
        <v>820</v>
      </c>
      <c r="G7" s="27">
        <v>3.17</v>
      </c>
      <c r="H7" s="4">
        <v>2027</v>
      </c>
      <c r="I7" s="4">
        <v>4789</v>
      </c>
      <c r="J7" s="4">
        <v>3794</v>
      </c>
      <c r="K7" s="29">
        <f t="shared" si="0"/>
        <v>12026.98</v>
      </c>
      <c r="L7" s="29">
        <v>8</v>
      </c>
      <c r="M7" s="4">
        <v>21</v>
      </c>
      <c r="N7" s="29">
        <f t="shared" si="1"/>
        <v>1503.3724999999999</v>
      </c>
      <c r="O7" s="29">
        <f t="shared" si="2"/>
        <v>572.71333333333337</v>
      </c>
      <c r="P7" s="4" t="s">
        <v>826</v>
      </c>
      <c r="Q7" s="16"/>
      <c r="R7" s="24" t="s">
        <v>232</v>
      </c>
      <c r="S7" s="31">
        <f>AVERAGE(N16:N17,N20:N22,N25:N28,N30:N31,N34:N35)*AVERAGE(L16:L17,L20:L22,L25:L28,L30:L31,L34:L35)</f>
        <v>56468.178547759941</v>
      </c>
      <c r="T7" s="26" t="s">
        <v>831</v>
      </c>
      <c r="U7" s="4"/>
      <c r="V7" s="4"/>
      <c r="W7" s="7"/>
      <c r="X7" s="7"/>
      <c r="Y7" s="7"/>
      <c r="Z7" s="7"/>
      <c r="AA7" s="4"/>
      <c r="AB7" s="4"/>
      <c r="AC7" s="27"/>
      <c r="AD7" s="4"/>
      <c r="AE7" s="4"/>
      <c r="AF7" s="4"/>
      <c r="AG7" s="4"/>
      <c r="AH7" s="4"/>
      <c r="AI7" s="4"/>
      <c r="AJ7" s="4"/>
    </row>
    <row r="8" spans="1:36" ht="15.75" customHeight="1" x14ac:dyDescent="0.15">
      <c r="A8" s="4" t="s">
        <v>827</v>
      </c>
      <c r="B8" s="4" t="s">
        <v>840</v>
      </c>
      <c r="C8" s="22" t="s">
        <v>841</v>
      </c>
      <c r="D8" s="4" t="s">
        <v>504</v>
      </c>
      <c r="E8" s="4" t="s">
        <v>14</v>
      </c>
      <c r="F8" s="4" t="s">
        <v>820</v>
      </c>
      <c r="G8" s="27">
        <v>4.0856000000000003</v>
      </c>
      <c r="H8" s="4">
        <v>2028</v>
      </c>
      <c r="I8" s="4">
        <v>131</v>
      </c>
      <c r="J8" s="4">
        <v>456</v>
      </c>
      <c r="K8" s="29">
        <f t="shared" si="0"/>
        <v>1863.0336000000002</v>
      </c>
      <c r="L8" s="29">
        <v>4</v>
      </c>
      <c r="M8" s="4">
        <v>12</v>
      </c>
      <c r="N8" s="29">
        <f t="shared" si="1"/>
        <v>465.75840000000005</v>
      </c>
      <c r="O8" s="29">
        <f t="shared" si="2"/>
        <v>155.25280000000001</v>
      </c>
      <c r="P8" s="4" t="s">
        <v>826</v>
      </c>
      <c r="Q8" s="16"/>
      <c r="R8" s="24" t="s">
        <v>235</v>
      </c>
      <c r="S8" s="31">
        <f>STDEV(N16:N17,N20:N22,N25:N28,N30:N31,N34:N35)*AVERAGE(L16:L17,L20:L22,L25:L28,L30:L31,L34:L35)</f>
        <v>27957.832926250823</v>
      </c>
      <c r="T8" s="26" t="s">
        <v>831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5.75" customHeight="1" x14ac:dyDescent="0.15">
      <c r="A9" s="4" t="s">
        <v>356</v>
      </c>
      <c r="B9" s="4" t="s">
        <v>842</v>
      </c>
      <c r="C9" s="28" t="s">
        <v>843</v>
      </c>
      <c r="D9" s="4" t="s">
        <v>504</v>
      </c>
      <c r="E9" s="4" t="s">
        <v>14</v>
      </c>
      <c r="F9" s="4" t="s">
        <v>820</v>
      </c>
      <c r="G9" s="27">
        <v>11.132</v>
      </c>
      <c r="H9" s="4">
        <v>2025</v>
      </c>
      <c r="I9" s="4">
        <v>2803</v>
      </c>
      <c r="J9" s="4">
        <v>761</v>
      </c>
      <c r="K9" s="29">
        <f t="shared" si="0"/>
        <v>8471.4519999999993</v>
      </c>
      <c r="L9" s="29">
        <v>5</v>
      </c>
      <c r="M9" s="4">
        <v>12</v>
      </c>
      <c r="N9" s="29">
        <f t="shared" si="1"/>
        <v>1694.2903999999999</v>
      </c>
      <c r="O9" s="29">
        <f t="shared" si="2"/>
        <v>705.95433333333324</v>
      </c>
      <c r="P9" s="4" t="s">
        <v>826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5.75" customHeight="1" x14ac:dyDescent="0.15">
      <c r="A10" s="4" t="s">
        <v>706</v>
      </c>
      <c r="B10" s="4" t="s">
        <v>844</v>
      </c>
      <c r="C10" s="22" t="s">
        <v>845</v>
      </c>
      <c r="D10" s="4" t="s">
        <v>245</v>
      </c>
      <c r="E10" s="4" t="s">
        <v>14</v>
      </c>
      <c r="F10" s="4" t="s">
        <v>820</v>
      </c>
      <c r="G10" s="27">
        <v>32.200000000000003</v>
      </c>
      <c r="H10" s="4">
        <v>2028</v>
      </c>
      <c r="I10" s="4">
        <v>2333</v>
      </c>
      <c r="J10" s="4">
        <v>129</v>
      </c>
      <c r="K10" s="29">
        <f t="shared" si="0"/>
        <v>4153.8</v>
      </c>
      <c r="L10" s="29">
        <v>4</v>
      </c>
      <c r="M10" s="4">
        <v>12.25</v>
      </c>
      <c r="N10" s="29">
        <f t="shared" si="1"/>
        <v>1038.45</v>
      </c>
      <c r="O10" s="29">
        <f t="shared" si="2"/>
        <v>339.08571428571429</v>
      </c>
      <c r="P10" s="4" t="s">
        <v>826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5.75" customHeight="1" x14ac:dyDescent="0.15">
      <c r="A11" s="4" t="s">
        <v>706</v>
      </c>
      <c r="B11" s="4" t="s">
        <v>846</v>
      </c>
      <c r="C11" s="22" t="s">
        <v>845</v>
      </c>
      <c r="D11" s="4" t="s">
        <v>245</v>
      </c>
      <c r="E11" s="4" t="s">
        <v>14</v>
      </c>
      <c r="F11" s="4" t="s">
        <v>820</v>
      </c>
      <c r="G11" s="27">
        <v>12.9</v>
      </c>
      <c r="H11" s="4">
        <v>2028</v>
      </c>
      <c r="I11" s="4">
        <v>2333</v>
      </c>
      <c r="J11" s="4">
        <v>324</v>
      </c>
      <c r="K11" s="29">
        <f t="shared" si="0"/>
        <v>4179.6000000000004</v>
      </c>
      <c r="L11" s="29">
        <v>4</v>
      </c>
      <c r="M11" s="4">
        <v>12.25</v>
      </c>
      <c r="N11" s="29">
        <f t="shared" si="1"/>
        <v>1044.9000000000001</v>
      </c>
      <c r="O11" s="29">
        <f t="shared" si="2"/>
        <v>341.19183673469388</v>
      </c>
      <c r="P11" s="4" t="s">
        <v>826</v>
      </c>
      <c r="Q11" s="4"/>
      <c r="R11" s="32" t="s">
        <v>511</v>
      </c>
      <c r="S11" s="105" t="s">
        <v>512</v>
      </c>
      <c r="T11" s="97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5.75" customHeight="1" x14ac:dyDescent="0.15">
      <c r="A12" s="4" t="s">
        <v>706</v>
      </c>
      <c r="B12" s="4" t="s">
        <v>847</v>
      </c>
      <c r="C12" s="22" t="s">
        <v>845</v>
      </c>
      <c r="D12" s="4" t="s">
        <v>245</v>
      </c>
      <c r="E12" s="4" t="s">
        <v>14</v>
      </c>
      <c r="F12" s="4" t="s">
        <v>820</v>
      </c>
      <c r="G12" s="27">
        <v>5.36</v>
      </c>
      <c r="H12" s="4">
        <v>2028</v>
      </c>
      <c r="I12" s="4">
        <v>2333</v>
      </c>
      <c r="J12" s="4">
        <v>776</v>
      </c>
      <c r="K12" s="29">
        <f t="shared" si="0"/>
        <v>4159.3600000000006</v>
      </c>
      <c r="L12" s="29">
        <v>4</v>
      </c>
      <c r="M12" s="4">
        <v>12.25</v>
      </c>
      <c r="N12" s="29">
        <f t="shared" si="1"/>
        <v>1039.8400000000001</v>
      </c>
      <c r="O12" s="29">
        <f t="shared" si="2"/>
        <v>339.53959183673476</v>
      </c>
      <c r="P12" s="4" t="s">
        <v>826</v>
      </c>
      <c r="Q12" s="33"/>
      <c r="R12" s="105" t="s">
        <v>820</v>
      </c>
      <c r="S12" s="98" t="s">
        <v>848</v>
      </c>
      <c r="T12" s="99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15.75" customHeight="1" x14ac:dyDescent="0.15">
      <c r="A13" s="4" t="s">
        <v>706</v>
      </c>
      <c r="B13" s="4" t="s">
        <v>849</v>
      </c>
      <c r="C13" s="22" t="s">
        <v>850</v>
      </c>
      <c r="D13" s="4" t="s">
        <v>830</v>
      </c>
      <c r="E13" s="4" t="s">
        <v>14</v>
      </c>
      <c r="F13" s="4" t="s">
        <v>820</v>
      </c>
      <c r="G13" s="27">
        <v>23.5</v>
      </c>
      <c r="H13" s="4">
        <v>2027</v>
      </c>
      <c r="I13" s="4">
        <v>2609</v>
      </c>
      <c r="J13" s="4">
        <v>291</v>
      </c>
      <c r="K13" s="29">
        <f t="shared" si="0"/>
        <v>6838.5</v>
      </c>
      <c r="L13" s="29">
        <v>5</v>
      </c>
      <c r="M13" s="4">
        <v>11</v>
      </c>
      <c r="N13" s="29">
        <f t="shared" si="1"/>
        <v>1367.7</v>
      </c>
      <c r="O13" s="29">
        <f t="shared" si="2"/>
        <v>621.68181818181813</v>
      </c>
      <c r="P13" s="4" t="s">
        <v>826</v>
      </c>
      <c r="Q13" s="33"/>
      <c r="R13" s="94"/>
      <c r="S13" s="100"/>
      <c r="T13" s="101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15.75" customHeight="1" x14ac:dyDescent="0.15">
      <c r="A14" s="4" t="s">
        <v>706</v>
      </c>
      <c r="B14" s="4" t="s">
        <v>851</v>
      </c>
      <c r="C14" s="22" t="s">
        <v>852</v>
      </c>
      <c r="D14" s="4" t="s">
        <v>830</v>
      </c>
      <c r="E14" s="4" t="s">
        <v>14</v>
      </c>
      <c r="F14" s="4" t="s">
        <v>820</v>
      </c>
      <c r="G14" s="27">
        <v>14.6</v>
      </c>
      <c r="H14" s="4">
        <v>2026</v>
      </c>
      <c r="I14" s="4">
        <v>2574</v>
      </c>
      <c r="J14" s="4">
        <v>434</v>
      </c>
      <c r="K14" s="29">
        <f t="shared" si="0"/>
        <v>6336.4</v>
      </c>
      <c r="L14" s="29">
        <v>4</v>
      </c>
      <c r="M14" s="4">
        <v>16.7</v>
      </c>
      <c r="N14" s="29">
        <f t="shared" si="1"/>
        <v>1584.1</v>
      </c>
      <c r="O14" s="29">
        <f t="shared" si="2"/>
        <v>379.42514970059881</v>
      </c>
      <c r="P14" s="4" t="s">
        <v>826</v>
      </c>
      <c r="Q14" s="33"/>
      <c r="R14" s="94"/>
      <c r="S14" s="100"/>
      <c r="T14" s="101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5.75" customHeight="1" x14ac:dyDescent="0.15">
      <c r="A15" s="4" t="s">
        <v>706</v>
      </c>
      <c r="B15" s="4" t="s">
        <v>853</v>
      </c>
      <c r="C15" s="22" t="s">
        <v>854</v>
      </c>
      <c r="D15" s="4" t="s">
        <v>830</v>
      </c>
      <c r="E15" s="4" t="s">
        <v>14</v>
      </c>
      <c r="F15" s="4" t="s">
        <v>820</v>
      </c>
      <c r="G15" s="27">
        <v>9.73</v>
      </c>
      <c r="H15" s="4">
        <v>2027</v>
      </c>
      <c r="I15" s="4">
        <v>3564</v>
      </c>
      <c r="J15" s="4">
        <v>893</v>
      </c>
      <c r="K15" s="29">
        <f t="shared" si="0"/>
        <v>8688.8900000000012</v>
      </c>
      <c r="L15" s="29">
        <v>4</v>
      </c>
      <c r="M15" s="4">
        <v>15</v>
      </c>
      <c r="N15" s="29">
        <f t="shared" si="1"/>
        <v>2172.2225000000003</v>
      </c>
      <c r="O15" s="29">
        <f t="shared" si="2"/>
        <v>579.25933333333342</v>
      </c>
      <c r="P15" s="4" t="s">
        <v>826</v>
      </c>
      <c r="Q15" s="33"/>
      <c r="R15" s="95"/>
      <c r="S15" s="102"/>
      <c r="T15" s="103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5.75" customHeight="1" x14ac:dyDescent="0.15">
      <c r="A16" s="4" t="s">
        <v>706</v>
      </c>
      <c r="B16" s="4" t="s">
        <v>855</v>
      </c>
      <c r="C16" s="22" t="s">
        <v>856</v>
      </c>
      <c r="D16" s="4" t="s">
        <v>857</v>
      </c>
      <c r="E16" s="4" t="s">
        <v>14</v>
      </c>
      <c r="F16" s="4" t="s">
        <v>820</v>
      </c>
      <c r="G16" s="27">
        <v>5.25</v>
      </c>
      <c r="H16" s="4">
        <v>2027</v>
      </c>
      <c r="I16" s="4">
        <v>30041</v>
      </c>
      <c r="J16" s="4">
        <v>18018</v>
      </c>
      <c r="K16" s="29">
        <f t="shared" si="0"/>
        <v>94594.5</v>
      </c>
      <c r="L16" s="29">
        <v>35</v>
      </c>
      <c r="M16" s="4">
        <v>150</v>
      </c>
      <c r="N16" s="29">
        <f t="shared" si="1"/>
        <v>2702.7</v>
      </c>
      <c r="O16" s="29">
        <f t="shared" si="2"/>
        <v>630.63</v>
      </c>
      <c r="P16" s="4" t="s">
        <v>838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ht="15.75" customHeight="1" x14ac:dyDescent="0.15">
      <c r="A17" s="4" t="s">
        <v>706</v>
      </c>
      <c r="B17" s="4" t="s">
        <v>858</v>
      </c>
      <c r="C17" s="22" t="s">
        <v>859</v>
      </c>
      <c r="D17" s="4" t="s">
        <v>830</v>
      </c>
      <c r="E17" s="4" t="s">
        <v>14</v>
      </c>
      <c r="F17" s="4" t="s">
        <v>820</v>
      </c>
      <c r="G17" s="27">
        <v>2.2000000000000002</v>
      </c>
      <c r="H17" s="4">
        <v>2027</v>
      </c>
      <c r="I17" s="4">
        <v>65303</v>
      </c>
      <c r="J17" s="4">
        <v>87061</v>
      </c>
      <c r="K17" s="29">
        <f t="shared" si="0"/>
        <v>191534.2</v>
      </c>
      <c r="L17" s="29">
        <v>20</v>
      </c>
      <c r="M17" s="4">
        <v>200</v>
      </c>
      <c r="N17" s="29">
        <f t="shared" si="1"/>
        <v>9576.7100000000009</v>
      </c>
      <c r="O17" s="29">
        <f t="shared" si="2"/>
        <v>957.67100000000005</v>
      </c>
      <c r="P17" s="4" t="s">
        <v>838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ht="15.75" customHeight="1" x14ac:dyDescent="0.15">
      <c r="A18" s="4" t="s">
        <v>706</v>
      </c>
      <c r="B18" s="4" t="s">
        <v>860</v>
      </c>
      <c r="C18" s="22" t="s">
        <v>861</v>
      </c>
      <c r="D18" s="4" t="s">
        <v>245</v>
      </c>
      <c r="E18" s="4" t="s">
        <v>14</v>
      </c>
      <c r="F18" s="4" t="s">
        <v>820</v>
      </c>
      <c r="G18" s="27">
        <v>36.9</v>
      </c>
      <c r="H18" s="4">
        <v>2027</v>
      </c>
      <c r="I18" s="4">
        <v>3747</v>
      </c>
      <c r="J18" s="4">
        <v>196</v>
      </c>
      <c r="K18" s="29">
        <f t="shared" si="0"/>
        <v>7232.4</v>
      </c>
      <c r="L18" s="29">
        <v>4</v>
      </c>
      <c r="M18" s="4">
        <v>12.25</v>
      </c>
      <c r="N18" s="29">
        <f t="shared" si="1"/>
        <v>1808.1</v>
      </c>
      <c r="O18" s="29">
        <f t="shared" si="2"/>
        <v>590.4</v>
      </c>
      <c r="P18" s="4" t="s">
        <v>826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15.75" customHeight="1" x14ac:dyDescent="0.15">
      <c r="A19" s="4" t="s">
        <v>706</v>
      </c>
      <c r="B19" s="4" t="s">
        <v>862</v>
      </c>
      <c r="C19" s="22" t="s">
        <v>861</v>
      </c>
      <c r="D19" s="4" t="s">
        <v>245</v>
      </c>
      <c r="E19" s="4" t="s">
        <v>14</v>
      </c>
      <c r="F19" s="4" t="s">
        <v>820</v>
      </c>
      <c r="G19" s="27">
        <v>14.7</v>
      </c>
      <c r="H19" s="4">
        <v>2027</v>
      </c>
      <c r="I19" s="4">
        <v>3747</v>
      </c>
      <c r="J19" s="4">
        <v>490</v>
      </c>
      <c r="K19" s="29">
        <f t="shared" si="0"/>
        <v>7203</v>
      </c>
      <c r="L19" s="29">
        <v>4</v>
      </c>
      <c r="M19" s="4">
        <v>12.25</v>
      </c>
      <c r="N19" s="29">
        <f t="shared" si="1"/>
        <v>1800.75</v>
      </c>
      <c r="O19" s="29">
        <f t="shared" si="2"/>
        <v>588</v>
      </c>
      <c r="P19" s="4" t="s">
        <v>826</v>
      </c>
      <c r="Q19" s="15"/>
      <c r="R19" s="15"/>
      <c r="S19" s="16"/>
      <c r="T19" s="16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ht="15.75" customHeight="1" x14ac:dyDescent="0.15">
      <c r="A20" s="4" t="s">
        <v>706</v>
      </c>
      <c r="B20" s="4" t="s">
        <v>863</v>
      </c>
      <c r="C20" s="22" t="s">
        <v>864</v>
      </c>
      <c r="D20" s="4" t="s">
        <v>830</v>
      </c>
      <c r="E20" s="4" t="s">
        <v>14</v>
      </c>
      <c r="F20" s="4" t="s">
        <v>820</v>
      </c>
      <c r="G20" s="27">
        <v>40.5</v>
      </c>
      <c r="H20" s="4">
        <v>2026</v>
      </c>
      <c r="I20" s="4">
        <v>4438</v>
      </c>
      <c r="J20" s="4">
        <v>302</v>
      </c>
      <c r="K20" s="29">
        <f t="shared" si="0"/>
        <v>12231</v>
      </c>
      <c r="L20" s="29">
        <v>4</v>
      </c>
      <c r="M20" s="4">
        <v>12</v>
      </c>
      <c r="N20" s="29">
        <f t="shared" si="1"/>
        <v>3057.75</v>
      </c>
      <c r="O20" s="29">
        <f t="shared" si="2"/>
        <v>1019.25</v>
      </c>
      <c r="P20" s="4" t="s">
        <v>838</v>
      </c>
      <c r="Q20" s="4"/>
      <c r="R20" s="4"/>
      <c r="S20" s="16"/>
      <c r="T20" s="16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ht="15.75" customHeight="1" x14ac:dyDescent="0.15">
      <c r="A21" s="4" t="s">
        <v>706</v>
      </c>
      <c r="B21" s="4" t="s">
        <v>865</v>
      </c>
      <c r="C21" s="22" t="s">
        <v>864</v>
      </c>
      <c r="D21" s="4" t="s">
        <v>830</v>
      </c>
      <c r="E21" s="4" t="s">
        <v>14</v>
      </c>
      <c r="F21" s="4" t="s">
        <v>820</v>
      </c>
      <c r="G21" s="27">
        <v>16.899999999999999</v>
      </c>
      <c r="H21" s="4">
        <v>2026</v>
      </c>
      <c r="I21" s="4">
        <v>4438</v>
      </c>
      <c r="J21" s="4">
        <v>724</v>
      </c>
      <c r="K21" s="29">
        <f t="shared" si="0"/>
        <v>12235.599999999999</v>
      </c>
      <c r="L21" s="29">
        <v>4</v>
      </c>
      <c r="M21" s="4">
        <v>12</v>
      </c>
      <c r="N21" s="29">
        <f t="shared" si="1"/>
        <v>3058.8999999999996</v>
      </c>
      <c r="O21" s="29">
        <f t="shared" si="2"/>
        <v>1019.6333333333332</v>
      </c>
      <c r="P21" s="4" t="s">
        <v>838</v>
      </c>
      <c r="Q21" s="16"/>
      <c r="R21" s="16"/>
      <c r="T21" s="4"/>
      <c r="U21" s="34"/>
      <c r="V21" s="29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ht="15.75" customHeight="1" x14ac:dyDescent="0.15">
      <c r="A22" s="4" t="s">
        <v>706</v>
      </c>
      <c r="B22" s="4" t="s">
        <v>866</v>
      </c>
      <c r="C22" s="22" t="s">
        <v>864</v>
      </c>
      <c r="D22" s="4" t="s">
        <v>830</v>
      </c>
      <c r="E22" s="4" t="s">
        <v>14</v>
      </c>
      <c r="F22" s="4" t="s">
        <v>820</v>
      </c>
      <c r="G22" s="27">
        <v>5.64</v>
      </c>
      <c r="H22" s="4">
        <v>2026</v>
      </c>
      <c r="I22" s="4">
        <v>4438</v>
      </c>
      <c r="J22" s="4">
        <v>2168</v>
      </c>
      <c r="K22" s="29">
        <f t="shared" si="0"/>
        <v>12227.519999999999</v>
      </c>
      <c r="L22" s="29">
        <v>4</v>
      </c>
      <c r="M22" s="4">
        <v>12</v>
      </c>
      <c r="N22" s="29">
        <f t="shared" si="1"/>
        <v>3056.8799999999997</v>
      </c>
      <c r="O22" s="29">
        <f t="shared" si="2"/>
        <v>1018.9599999999999</v>
      </c>
      <c r="P22" s="4" t="s">
        <v>838</v>
      </c>
      <c r="Q22" s="16"/>
      <c r="R22" s="16"/>
      <c r="T22" s="4"/>
      <c r="U22" s="4"/>
      <c r="V22" s="29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15.75" customHeight="1" x14ac:dyDescent="0.15">
      <c r="A23" s="4" t="s">
        <v>706</v>
      </c>
      <c r="B23" s="4" t="s">
        <v>867</v>
      </c>
      <c r="C23" s="22" t="s">
        <v>868</v>
      </c>
      <c r="D23" s="4" t="s">
        <v>11</v>
      </c>
      <c r="E23" s="4" t="s">
        <v>14</v>
      </c>
      <c r="F23" s="4" t="s">
        <v>820</v>
      </c>
      <c r="G23" s="27">
        <v>18.8</v>
      </c>
      <c r="H23" s="4">
        <v>2026</v>
      </c>
      <c r="I23" s="4">
        <v>2557</v>
      </c>
      <c r="J23" s="4">
        <v>340</v>
      </c>
      <c r="K23" s="29">
        <f t="shared" si="0"/>
        <v>6392</v>
      </c>
      <c r="L23" s="29">
        <v>4</v>
      </c>
      <c r="M23" s="4">
        <v>12</v>
      </c>
      <c r="N23" s="29">
        <f t="shared" si="1"/>
        <v>1598</v>
      </c>
      <c r="O23" s="29">
        <f t="shared" si="2"/>
        <v>532.66666666666663</v>
      </c>
      <c r="P23" s="4" t="s">
        <v>826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ht="15.75" customHeight="1" x14ac:dyDescent="0.15">
      <c r="A24" s="4" t="s">
        <v>706</v>
      </c>
      <c r="B24" s="4" t="s">
        <v>869</v>
      </c>
      <c r="C24" s="22" t="s">
        <v>868</v>
      </c>
      <c r="D24" s="4" t="s">
        <v>11</v>
      </c>
      <c r="E24" s="4" t="s">
        <v>14</v>
      </c>
      <c r="F24" s="4" t="s">
        <v>820</v>
      </c>
      <c r="G24" s="4">
        <v>7.84</v>
      </c>
      <c r="H24" s="4">
        <v>2026</v>
      </c>
      <c r="I24" s="4">
        <v>2557</v>
      </c>
      <c r="J24" s="4">
        <v>815</v>
      </c>
      <c r="K24" s="29">
        <f t="shared" si="0"/>
        <v>6389.5999999999995</v>
      </c>
      <c r="L24" s="29">
        <v>4</v>
      </c>
      <c r="M24" s="4">
        <v>12</v>
      </c>
      <c r="N24" s="29">
        <f t="shared" si="1"/>
        <v>1597.3999999999999</v>
      </c>
      <c r="O24" s="29">
        <f t="shared" si="2"/>
        <v>532.46666666666658</v>
      </c>
      <c r="P24" s="4" t="s">
        <v>826</v>
      </c>
      <c r="Q24" s="15"/>
      <c r="R24" s="15"/>
      <c r="S24" s="16"/>
      <c r="T24" s="16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ht="15.75" customHeight="1" x14ac:dyDescent="0.15">
      <c r="A25" s="4" t="s">
        <v>706</v>
      </c>
      <c r="B25" s="4" t="s">
        <v>870</v>
      </c>
      <c r="C25" s="22" t="s">
        <v>871</v>
      </c>
      <c r="D25" s="4" t="s">
        <v>245</v>
      </c>
      <c r="E25" s="4" t="s">
        <v>14</v>
      </c>
      <c r="F25" s="4" t="s">
        <v>820</v>
      </c>
      <c r="G25" s="27">
        <v>27.4</v>
      </c>
      <c r="H25" s="4">
        <v>2026</v>
      </c>
      <c r="I25" s="4" t="s">
        <v>18</v>
      </c>
      <c r="J25" s="4">
        <v>669</v>
      </c>
      <c r="K25" s="29">
        <f t="shared" si="0"/>
        <v>18330.599999999999</v>
      </c>
      <c r="L25" s="29">
        <v>3</v>
      </c>
      <c r="M25" s="4">
        <v>7.6</v>
      </c>
      <c r="N25" s="29">
        <f t="shared" si="1"/>
        <v>6110.2</v>
      </c>
      <c r="O25" s="29">
        <f t="shared" si="2"/>
        <v>2411.9210526315787</v>
      </c>
      <c r="P25" s="4" t="s">
        <v>838</v>
      </c>
      <c r="Q25" s="4"/>
      <c r="R25" s="4"/>
      <c r="S25" s="16"/>
      <c r="T25" s="1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15.75" customHeight="1" x14ac:dyDescent="0.15">
      <c r="A26" s="4" t="s">
        <v>706</v>
      </c>
      <c r="B26" s="4" t="s">
        <v>872</v>
      </c>
      <c r="C26" s="28" t="s">
        <v>871</v>
      </c>
      <c r="D26" s="4" t="s">
        <v>245</v>
      </c>
      <c r="E26" s="4" t="s">
        <v>14</v>
      </c>
      <c r="F26" s="4" t="s">
        <v>820</v>
      </c>
      <c r="G26" s="27">
        <v>41.4</v>
      </c>
      <c r="H26" s="4">
        <v>2026</v>
      </c>
      <c r="I26" s="4" t="s">
        <v>18</v>
      </c>
      <c r="J26" s="4">
        <v>966</v>
      </c>
      <c r="K26" s="29">
        <f t="shared" si="0"/>
        <v>39992.400000000001</v>
      </c>
      <c r="L26" s="29">
        <v>4</v>
      </c>
      <c r="M26" s="4">
        <v>12</v>
      </c>
      <c r="N26" s="29">
        <f t="shared" si="1"/>
        <v>9998.1</v>
      </c>
      <c r="O26" s="29">
        <f t="shared" si="2"/>
        <v>3332.7000000000003</v>
      </c>
      <c r="P26" s="4" t="s">
        <v>838</v>
      </c>
      <c r="Q26" s="16"/>
      <c r="R26" s="16"/>
      <c r="T26" s="4"/>
      <c r="U26" s="34"/>
      <c r="V26" s="29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ht="15.75" customHeight="1" x14ac:dyDescent="0.15">
      <c r="A27" s="4" t="s">
        <v>706</v>
      </c>
      <c r="B27" s="4" t="s">
        <v>873</v>
      </c>
      <c r="C27" s="22" t="s">
        <v>874</v>
      </c>
      <c r="D27" s="4" t="s">
        <v>245</v>
      </c>
      <c r="E27" s="4" t="s">
        <v>14</v>
      </c>
      <c r="F27" s="4" t="s">
        <v>820</v>
      </c>
      <c r="G27" s="27">
        <v>44</v>
      </c>
      <c r="H27" s="4">
        <v>2026</v>
      </c>
      <c r="I27" s="4" t="s">
        <v>18</v>
      </c>
      <c r="J27" s="4">
        <v>302</v>
      </c>
      <c r="K27" s="29">
        <f t="shared" si="0"/>
        <v>13288</v>
      </c>
      <c r="L27" s="29">
        <v>4</v>
      </c>
      <c r="M27" s="4">
        <v>12</v>
      </c>
      <c r="N27" s="29">
        <f t="shared" si="1"/>
        <v>3322</v>
      </c>
      <c r="O27" s="29">
        <f t="shared" si="2"/>
        <v>1107.3333333333333</v>
      </c>
      <c r="P27" s="4" t="s">
        <v>838</v>
      </c>
      <c r="Q27" s="16"/>
      <c r="R27" s="16"/>
      <c r="T27" s="4"/>
      <c r="U27" s="4"/>
      <c r="V27" s="29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ht="15.75" customHeight="1" x14ac:dyDescent="0.15">
      <c r="A28" s="4" t="s">
        <v>706</v>
      </c>
      <c r="B28" s="4" t="s">
        <v>875</v>
      </c>
      <c r="C28" s="28" t="s">
        <v>874</v>
      </c>
      <c r="D28" s="4" t="s">
        <v>245</v>
      </c>
      <c r="E28" s="4" t="s">
        <v>14</v>
      </c>
      <c r="F28" s="4" t="s">
        <v>820</v>
      </c>
      <c r="G28" s="27">
        <v>49.5</v>
      </c>
      <c r="H28" s="4">
        <v>2026</v>
      </c>
      <c r="I28" s="4" t="s">
        <v>18</v>
      </c>
      <c r="J28" s="4">
        <v>377</v>
      </c>
      <c r="K28" s="29">
        <f t="shared" si="0"/>
        <v>18661.5</v>
      </c>
      <c r="L28" s="29">
        <v>5</v>
      </c>
      <c r="M28" s="4">
        <v>15</v>
      </c>
      <c r="N28" s="29">
        <f t="shared" si="1"/>
        <v>3732.3</v>
      </c>
      <c r="O28" s="29">
        <f t="shared" si="2"/>
        <v>1244.0999999999999</v>
      </c>
      <c r="P28" s="4" t="s">
        <v>838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ht="15.75" customHeight="1" x14ac:dyDescent="0.15">
      <c r="A29" s="4" t="s">
        <v>706</v>
      </c>
      <c r="B29" s="4" t="s">
        <v>876</v>
      </c>
      <c r="C29" s="22" t="s">
        <v>877</v>
      </c>
      <c r="D29" s="4" t="s">
        <v>245</v>
      </c>
      <c r="E29" s="4" t="s">
        <v>14</v>
      </c>
      <c r="F29" s="4" t="s">
        <v>820</v>
      </c>
      <c r="G29" s="27">
        <v>41.2</v>
      </c>
      <c r="H29" s="4">
        <v>2026</v>
      </c>
      <c r="I29" s="4" t="s">
        <v>18</v>
      </c>
      <c r="J29" s="4">
        <v>254</v>
      </c>
      <c r="K29" s="29">
        <f t="shared" si="0"/>
        <v>10464.800000000001</v>
      </c>
      <c r="L29" s="29">
        <v>4</v>
      </c>
      <c r="M29" s="4">
        <v>9.6</v>
      </c>
      <c r="N29" s="29">
        <f t="shared" si="1"/>
        <v>2616.2000000000003</v>
      </c>
      <c r="O29" s="29">
        <f t="shared" si="2"/>
        <v>1090.0833333333335</v>
      </c>
      <c r="P29" s="4" t="s">
        <v>826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5.75" customHeight="1" x14ac:dyDescent="0.15">
      <c r="A30" s="4" t="s">
        <v>706</v>
      </c>
      <c r="B30" s="4" t="s">
        <v>878</v>
      </c>
      <c r="C30" s="22" t="s">
        <v>879</v>
      </c>
      <c r="D30" s="4" t="s">
        <v>11</v>
      </c>
      <c r="E30" s="4" t="s">
        <v>14</v>
      </c>
      <c r="F30" s="4" t="s">
        <v>820</v>
      </c>
      <c r="G30" s="27">
        <v>8.76</v>
      </c>
      <c r="H30" s="4">
        <v>2027</v>
      </c>
      <c r="I30" s="4">
        <v>12304</v>
      </c>
      <c r="J30" s="4">
        <v>7049</v>
      </c>
      <c r="K30" s="29">
        <f t="shared" si="0"/>
        <v>61749.24</v>
      </c>
      <c r="L30" s="29">
        <v>9</v>
      </c>
      <c r="M30" s="4">
        <v>30.6</v>
      </c>
      <c r="N30" s="29">
        <f t="shared" si="1"/>
        <v>6861.0266666666666</v>
      </c>
      <c r="O30" s="29">
        <f t="shared" si="2"/>
        <v>2017.949019607843</v>
      </c>
      <c r="P30" s="4" t="s">
        <v>838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ht="15.75" customHeight="1" x14ac:dyDescent="0.15">
      <c r="A31" s="4" t="s">
        <v>706</v>
      </c>
      <c r="B31" s="4" t="s">
        <v>880</v>
      </c>
      <c r="C31" s="22" t="s">
        <v>881</v>
      </c>
      <c r="D31" s="4" t="s">
        <v>11</v>
      </c>
      <c r="E31" s="4" t="s">
        <v>14</v>
      </c>
      <c r="F31" s="4" t="s">
        <v>820</v>
      </c>
      <c r="G31" s="27">
        <v>9.14</v>
      </c>
      <c r="H31" s="4">
        <v>2027</v>
      </c>
      <c r="I31" s="4">
        <v>46348</v>
      </c>
      <c r="J31" s="4">
        <v>28380</v>
      </c>
      <c r="K31" s="29">
        <f t="shared" si="0"/>
        <v>259393.2</v>
      </c>
      <c r="L31" s="29">
        <v>35</v>
      </c>
      <c r="M31" s="4">
        <v>168.3</v>
      </c>
      <c r="N31" s="29">
        <f t="shared" si="1"/>
        <v>7411.2342857142858</v>
      </c>
      <c r="O31" s="29">
        <f t="shared" si="2"/>
        <v>1541.2549019607843</v>
      </c>
      <c r="P31" s="4" t="s">
        <v>838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ht="15.75" customHeight="1" x14ac:dyDescent="0.15">
      <c r="A32" s="7" t="s">
        <v>796</v>
      </c>
      <c r="B32" s="4" t="s">
        <v>842</v>
      </c>
      <c r="C32" s="22" t="s">
        <v>882</v>
      </c>
      <c r="D32" s="4" t="s">
        <v>504</v>
      </c>
      <c r="E32" s="4" t="s">
        <v>14</v>
      </c>
      <c r="F32" s="4" t="s">
        <v>820</v>
      </c>
      <c r="G32" s="27">
        <v>11.231999999999999</v>
      </c>
      <c r="H32" s="4">
        <v>2025</v>
      </c>
      <c r="I32" s="4">
        <v>2872</v>
      </c>
      <c r="J32" s="4">
        <v>761</v>
      </c>
      <c r="K32" s="29">
        <f t="shared" si="0"/>
        <v>8547.5519999999997</v>
      </c>
      <c r="L32" s="29">
        <v>5</v>
      </c>
      <c r="M32" s="4">
        <v>12</v>
      </c>
      <c r="N32" s="29">
        <f t="shared" si="1"/>
        <v>1709.5103999999999</v>
      </c>
      <c r="O32" s="29">
        <f t="shared" si="2"/>
        <v>712.29599999999994</v>
      </c>
      <c r="P32" s="4" t="s">
        <v>826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ht="15.75" customHeight="1" x14ac:dyDescent="0.15">
      <c r="A33" s="7" t="s">
        <v>796</v>
      </c>
      <c r="B33" s="4" t="s">
        <v>883</v>
      </c>
      <c r="C33" s="22" t="s">
        <v>884</v>
      </c>
      <c r="D33" s="4" t="s">
        <v>504</v>
      </c>
      <c r="E33" s="4" t="s">
        <v>14</v>
      </c>
      <c r="F33" s="4" t="s">
        <v>820</v>
      </c>
      <c r="G33" s="27">
        <v>10.095000000000001</v>
      </c>
      <c r="H33" s="4">
        <v>2025</v>
      </c>
      <c r="I33" s="4">
        <v>10031</v>
      </c>
      <c r="J33" s="4">
        <v>3924</v>
      </c>
      <c r="K33" s="29">
        <f t="shared" si="0"/>
        <v>39612.780000000006</v>
      </c>
      <c r="L33" s="29">
        <v>21</v>
      </c>
      <c r="M33" s="4">
        <v>65</v>
      </c>
      <c r="N33" s="29">
        <f t="shared" si="1"/>
        <v>1886.3228571428574</v>
      </c>
      <c r="O33" s="29">
        <f t="shared" si="2"/>
        <v>609.42738461538465</v>
      </c>
      <c r="P33" s="4" t="s">
        <v>826</v>
      </c>
      <c r="Q33" s="15"/>
      <c r="R33" s="15"/>
      <c r="S33" s="16"/>
      <c r="T33" s="16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ht="15.75" customHeight="1" x14ac:dyDescent="0.15">
      <c r="A34" s="7" t="s">
        <v>796</v>
      </c>
      <c r="B34" s="4" t="s">
        <v>885</v>
      </c>
      <c r="C34" s="22" t="s">
        <v>886</v>
      </c>
      <c r="D34" s="4" t="s">
        <v>504</v>
      </c>
      <c r="E34" s="4" t="s">
        <v>14</v>
      </c>
      <c r="F34" s="4" t="s">
        <v>820</v>
      </c>
      <c r="G34" s="27">
        <v>23.425999999999998</v>
      </c>
      <c r="H34" s="4">
        <v>2024</v>
      </c>
      <c r="I34" s="4">
        <v>6953</v>
      </c>
      <c r="J34" s="4">
        <v>773</v>
      </c>
      <c r="K34" s="29">
        <f t="shared" si="0"/>
        <v>18108.297999999999</v>
      </c>
      <c r="L34" s="29">
        <v>5</v>
      </c>
      <c r="M34" s="4">
        <v>12</v>
      </c>
      <c r="N34" s="29">
        <f t="shared" si="1"/>
        <v>3621.6596</v>
      </c>
      <c r="O34" s="29">
        <f t="shared" si="2"/>
        <v>1509.0248333333332</v>
      </c>
      <c r="P34" s="4" t="s">
        <v>838</v>
      </c>
      <c r="Q34" s="4"/>
      <c r="R34" s="4"/>
      <c r="S34" s="16"/>
      <c r="T34" s="16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ht="15.75" customHeight="1" x14ac:dyDescent="0.15">
      <c r="A35" s="7" t="s">
        <v>796</v>
      </c>
      <c r="B35" s="4" t="s">
        <v>887</v>
      </c>
      <c r="C35" s="22" t="s">
        <v>888</v>
      </c>
      <c r="D35" s="4" t="s">
        <v>504</v>
      </c>
      <c r="E35" s="4" t="s">
        <v>14</v>
      </c>
      <c r="F35" s="4" t="s">
        <v>820</v>
      </c>
      <c r="G35" s="27">
        <v>44.62</v>
      </c>
      <c r="H35" s="4">
        <v>2024</v>
      </c>
      <c r="I35" s="4">
        <v>8093</v>
      </c>
      <c r="J35" s="4">
        <v>550</v>
      </c>
      <c r="K35" s="29">
        <f t="shared" si="0"/>
        <v>24541</v>
      </c>
      <c r="L35" s="29">
        <v>3</v>
      </c>
      <c r="M35" s="4">
        <v>6</v>
      </c>
      <c r="N35" s="29">
        <f t="shared" si="1"/>
        <v>8180.333333333333</v>
      </c>
      <c r="O35" s="29">
        <f t="shared" si="2"/>
        <v>4090.1666666666665</v>
      </c>
      <c r="P35" s="4" t="s">
        <v>838</v>
      </c>
      <c r="Q35" s="16"/>
      <c r="R35" s="16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16"/>
      <c r="R36" s="16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6"/>
      <c r="T39" s="16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16"/>
      <c r="R40" s="16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16"/>
      <c r="R41" s="16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ht="15.75" customHeight="1" x14ac:dyDescent="0.15">
      <c r="A45" s="4"/>
      <c r="B45" s="4"/>
      <c r="C45" s="4"/>
      <c r="D45" s="4"/>
      <c r="E45" s="4"/>
      <c r="F45" s="4"/>
      <c r="G45" s="27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ht="15.75" customHeight="1" x14ac:dyDescent="0.15">
      <c r="A46" s="4"/>
      <c r="B46" s="4"/>
      <c r="C46" s="4"/>
      <c r="D46" s="4"/>
      <c r="E46" s="4"/>
      <c r="F46" s="4"/>
      <c r="G46" s="2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ht="15.75" customHeight="1" x14ac:dyDescent="0.15">
      <c r="A50" s="4"/>
      <c r="B50" s="4"/>
      <c r="C50" s="4"/>
      <c r="D50" s="4"/>
      <c r="E50" s="4"/>
      <c r="F50" s="4"/>
      <c r="G50" s="2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15.75" customHeight="1" x14ac:dyDescent="0.15">
      <c r="A51" s="4"/>
      <c r="B51" s="4"/>
      <c r="C51" s="4"/>
      <c r="D51" s="4"/>
      <c r="E51" s="4"/>
      <c r="F51" s="4"/>
      <c r="G51" s="2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15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ht="15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15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5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ht="15.75" customHeight="1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ht="15.75" customHeight="1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5.75" customHeight="1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5.75" customHeight="1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ht="15.75" customHeight="1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ht="15.75" customHeight="1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ht="15.7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ht="15.75" customHeight="1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ht="15.75" customHeight="1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ht="15.75" customHeight="1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ht="15.75" customHeight="1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ht="15.75" customHeight="1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ht="15.75" customHeight="1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ht="15.75" customHeight="1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ht="15.75" customHeight="1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ht="15.75" customHeight="1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ht="15.75" customHeight="1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ht="15.75" customHeight="1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ht="15.75" customHeight="1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ht="15.75" customHeight="1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ht="15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ht="15.75" customHeight="1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ht="15.75" customHeight="1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ht="15.75" customHeight="1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ht="15.75" customHeight="1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15.75" customHeight="1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15.75" customHeight="1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15.75" customHeight="1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15.75" customHeight="1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15.75" customHeight="1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15.75" customHeight="1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15.75" customHeight="1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15.75" customHeight="1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15.75" customHeight="1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15.75" customHeight="1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15.75" customHeight="1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15.75" customHeight="1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15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15.75" customHeight="1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15.75" customHeight="1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15.75" customHeight="1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15.75" customHeight="1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15.75" customHeight="1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15.75" customHeight="1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15.75" customHeight="1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15.75" customHeight="1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15.75" customHeight="1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15.75" customHeight="1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15.75" customHeight="1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15.75" customHeight="1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15.75" customHeight="1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15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15.75" customHeight="1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15.75" customHeight="1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15.75" customHeight="1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15.75" customHeight="1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15.75" customHeight="1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15.75" customHeight="1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15.75" customHeight="1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15.75" customHeight="1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15.75" customHeight="1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15.75" customHeight="1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15.75" customHeight="1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15.75" customHeight="1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15.75" customHeight="1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15.75" customHeight="1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15.75" customHeight="1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15.75" customHeight="1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15.75" customHeight="1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15.75" customHeight="1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15.75" customHeight="1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15.75" customHeight="1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15.75" customHeight="1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15.75" customHeight="1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15.75" customHeight="1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15.75" customHeight="1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ht="15.75" customHeight="1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ht="15.75" customHeight="1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ht="15.75" customHeight="1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ht="15.75" customHeight="1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ht="15.75" customHeight="1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ht="15.75" customHeight="1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ht="15.75" customHeight="1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ht="15.75" customHeight="1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ht="15.75" customHeight="1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ht="15.75" customHeight="1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ht="15.75" customHeight="1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ht="15.75" customHeight="1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ht="15.75" customHeight="1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ht="15.75" customHeight="1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ht="15.75" customHeight="1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ht="15.75" customHeight="1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ht="15.75" customHeight="1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ht="15.75" customHeight="1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ht="15.75" customHeight="1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ht="15.75" customHeight="1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ht="15.75" customHeight="1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ht="15.75" customHeight="1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ht="15.75" customHeight="1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ht="15.75" customHeight="1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ht="15.75" customHeight="1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ht="15.75" customHeight="1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ht="15.75" customHeight="1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ht="15.75" customHeight="1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ht="15.75" customHeight="1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ht="15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ht="15.75" customHeight="1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ht="15.75" customHeight="1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ht="15.75" customHeight="1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ht="15.75" customHeight="1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ht="15.75" customHeight="1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ht="15.75" customHeight="1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ht="15.75" customHeight="1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ht="15.75" customHeight="1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ht="15.75" customHeight="1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ht="15.75" customHeight="1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ht="15.75" customHeight="1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ht="15.75" customHeight="1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ht="15.75" customHeight="1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ht="15.75" customHeight="1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ht="15.75" customHeight="1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ht="15.75" customHeight="1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ht="15.75" customHeight="1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ht="15.75" customHeight="1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ht="15.75" customHeight="1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ht="15.75" customHeight="1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ht="15.75" customHeight="1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ht="15.75" customHeight="1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ht="15.75" customHeight="1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ht="15.75" customHeight="1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ht="15.75" customHeight="1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ht="15.75" customHeight="1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ht="15.75" customHeight="1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ht="15.75" customHeight="1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ht="15.75" customHeight="1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ht="15.75" customHeight="1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ht="15.75" customHeight="1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ht="15.75" customHeight="1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ht="15.75" customHeight="1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ht="15.75" customHeight="1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ht="15.75" customHeight="1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ht="15.75" customHeight="1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ht="15.75" customHeight="1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ht="15.75" customHeight="1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ht="15.75" customHeight="1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ht="15.75" customHeight="1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ht="15.75" customHeight="1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ht="15.75" customHeight="1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ht="15.75" customHeight="1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ht="15.75" customHeight="1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ht="15.75" customHeight="1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ht="15.75" customHeight="1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ht="15.75" customHeight="1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ht="15.75" customHeight="1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ht="15.75" customHeight="1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ht="15.75" customHeight="1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ht="15.75" customHeight="1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ht="15.75" customHeight="1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ht="15.75" customHeight="1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ht="15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ht="15.75" customHeight="1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ht="15.75" customHeight="1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ht="15.75" customHeight="1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ht="15.75" customHeight="1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ht="15.75" customHeight="1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ht="15.75" customHeight="1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ht="15.75" customHeight="1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ht="15.75" customHeight="1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ht="15.75" customHeight="1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ht="15.75" customHeight="1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ht="15.75" customHeight="1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ht="15.75" customHeight="1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ht="15.75" customHeight="1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ht="15.75" customHeight="1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ht="15.75" customHeight="1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ht="15.75" customHeight="1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ht="15.75" customHeight="1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ht="15.75" customHeight="1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ht="15.75" customHeight="1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ht="15.75" customHeight="1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ht="15.75" customHeight="1" x14ac:dyDescent="0.15"/>
    <row r="237" spans="1:36" ht="15.75" customHeight="1" x14ac:dyDescent="0.15"/>
    <row r="238" spans="1:36" ht="15.75" customHeight="1" x14ac:dyDescent="0.15"/>
    <row r="239" spans="1:36" ht="15.75" customHeight="1" x14ac:dyDescent="0.15"/>
    <row r="240" spans="1:3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S11:T11"/>
    <mergeCell ref="A1:P1"/>
    <mergeCell ref="R12:R15"/>
    <mergeCell ref="S12:T15"/>
  </mergeCells>
  <hyperlinks>
    <hyperlink ref="C3" r:id="rId1" xr:uid="{00000000-0004-0000-0800-000000000000}"/>
    <hyperlink ref="C4" r:id="rId2" xr:uid="{00000000-0004-0000-0800-000001000000}"/>
    <hyperlink ref="C5" r:id="rId3" xr:uid="{00000000-0004-0000-0800-000002000000}"/>
    <hyperlink ref="C6" r:id="rId4" xr:uid="{00000000-0004-0000-0800-000003000000}"/>
    <hyperlink ref="C7" r:id="rId5" xr:uid="{00000000-0004-0000-0800-000004000000}"/>
    <hyperlink ref="C8" r:id="rId6" xr:uid="{00000000-0004-0000-0800-000005000000}"/>
    <hyperlink ref="C9" r:id="rId7" xr:uid="{00000000-0004-0000-0800-000006000000}"/>
    <hyperlink ref="C10" r:id="rId8" xr:uid="{00000000-0004-0000-0800-000007000000}"/>
    <hyperlink ref="C11" r:id="rId9" xr:uid="{00000000-0004-0000-0800-000008000000}"/>
    <hyperlink ref="C12" r:id="rId10" xr:uid="{00000000-0004-0000-0800-000009000000}"/>
    <hyperlink ref="C13" r:id="rId11" xr:uid="{00000000-0004-0000-0800-00000A000000}"/>
    <hyperlink ref="C14" r:id="rId12" xr:uid="{00000000-0004-0000-0800-00000B000000}"/>
    <hyperlink ref="C15" r:id="rId13" xr:uid="{00000000-0004-0000-0800-00000C000000}"/>
    <hyperlink ref="C16" r:id="rId14" xr:uid="{00000000-0004-0000-0800-00000D000000}"/>
    <hyperlink ref="C17" r:id="rId15" xr:uid="{00000000-0004-0000-0800-00000E000000}"/>
    <hyperlink ref="C18" r:id="rId16" xr:uid="{00000000-0004-0000-0800-00000F000000}"/>
    <hyperlink ref="C19" r:id="rId17" xr:uid="{00000000-0004-0000-0800-000010000000}"/>
    <hyperlink ref="C20" r:id="rId18" xr:uid="{00000000-0004-0000-0800-000011000000}"/>
    <hyperlink ref="C21" r:id="rId19" xr:uid="{00000000-0004-0000-0800-000012000000}"/>
    <hyperlink ref="C22" r:id="rId20" xr:uid="{00000000-0004-0000-0800-000013000000}"/>
    <hyperlink ref="C23" r:id="rId21" xr:uid="{00000000-0004-0000-0800-000014000000}"/>
    <hyperlink ref="C24" r:id="rId22" xr:uid="{00000000-0004-0000-0800-000015000000}"/>
    <hyperlink ref="C25" r:id="rId23" xr:uid="{00000000-0004-0000-0800-000016000000}"/>
    <hyperlink ref="C26" r:id="rId24" xr:uid="{00000000-0004-0000-0800-000017000000}"/>
    <hyperlink ref="C27" r:id="rId25" xr:uid="{00000000-0004-0000-0800-000018000000}"/>
    <hyperlink ref="C28" r:id="rId26" xr:uid="{00000000-0004-0000-0800-000019000000}"/>
    <hyperlink ref="C29" r:id="rId27" xr:uid="{00000000-0004-0000-0800-00001A000000}"/>
    <hyperlink ref="C30" r:id="rId28" xr:uid="{00000000-0004-0000-0800-00001B000000}"/>
    <hyperlink ref="C31" r:id="rId29" xr:uid="{00000000-0004-0000-0800-00001C000000}"/>
    <hyperlink ref="C32" r:id="rId30" xr:uid="{00000000-0004-0000-0800-00001D000000}"/>
    <hyperlink ref="C33" r:id="rId31" xr:uid="{00000000-0004-0000-0800-00001E000000}"/>
    <hyperlink ref="C34" r:id="rId32" xr:uid="{00000000-0004-0000-0800-00001F000000}"/>
    <hyperlink ref="C35" r:id="rId33" xr:uid="{00000000-0004-0000-0800-00002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0"/>
  <sheetViews>
    <sheetView zoomScale="96" workbookViewId="0">
      <selection activeCell="B15" sqref="B15"/>
    </sheetView>
  </sheetViews>
  <sheetFormatPr baseColWidth="10" defaultColWidth="12.6640625" defaultRowHeight="15" customHeight="1" x14ac:dyDescent="0.15"/>
  <cols>
    <col min="1" max="3" width="30.83203125" customWidth="1"/>
    <col min="5" max="5" width="12.6640625" customWidth="1"/>
    <col min="10" max="12" width="15.33203125" customWidth="1"/>
  </cols>
  <sheetData>
    <row r="1" spans="1:24" ht="15.75" customHeight="1" x14ac:dyDescent="0.15">
      <c r="A1" s="90" t="s">
        <v>889</v>
      </c>
      <c r="B1" s="83"/>
      <c r="C1" s="83"/>
      <c r="D1" s="83"/>
      <c r="E1" s="83"/>
      <c r="F1" s="83"/>
      <c r="G1" s="83"/>
      <c r="H1" s="83"/>
      <c r="I1" s="4"/>
      <c r="J1" s="4"/>
      <c r="K1" s="4"/>
      <c r="L1" s="4"/>
      <c r="M1" s="4"/>
      <c r="N1" s="4"/>
      <c r="O1" s="16"/>
      <c r="P1" s="16"/>
      <c r="Q1" s="16"/>
      <c r="R1" s="16"/>
      <c r="S1" s="16"/>
      <c r="T1" s="16"/>
      <c r="U1" s="36"/>
      <c r="V1" s="16"/>
      <c r="W1" s="16"/>
      <c r="X1" s="4"/>
    </row>
    <row r="2" spans="1:24" ht="15.75" customHeight="1" x14ac:dyDescent="0.15">
      <c r="A2" s="15" t="s">
        <v>890</v>
      </c>
      <c r="B2" s="15" t="s">
        <v>891</v>
      </c>
      <c r="C2" s="15" t="s">
        <v>892</v>
      </c>
      <c r="D2" s="15" t="s">
        <v>1</v>
      </c>
      <c r="E2" s="15" t="s">
        <v>893</v>
      </c>
      <c r="F2" s="15" t="s">
        <v>6</v>
      </c>
      <c r="G2" s="15" t="s">
        <v>2</v>
      </c>
      <c r="H2" s="16" t="s">
        <v>3</v>
      </c>
      <c r="I2" s="4"/>
      <c r="J2" s="20"/>
      <c r="K2" s="21" t="s">
        <v>230</v>
      </c>
      <c r="L2" s="21" t="s">
        <v>2</v>
      </c>
      <c r="M2" s="4"/>
      <c r="N2" s="4"/>
      <c r="O2" s="4"/>
      <c r="P2" s="4"/>
      <c r="Q2" s="4"/>
      <c r="R2" s="4"/>
      <c r="S2" s="4"/>
      <c r="T2" s="4"/>
      <c r="U2" s="23"/>
      <c r="V2" s="4"/>
      <c r="W2" s="4"/>
      <c r="X2" s="16"/>
    </row>
    <row r="3" spans="1:24" ht="15.75" customHeight="1" x14ac:dyDescent="0.15">
      <c r="A3" s="4" t="s">
        <v>894</v>
      </c>
      <c r="B3" s="4" t="s">
        <v>895</v>
      </c>
      <c r="C3" s="4" t="s">
        <v>896</v>
      </c>
      <c r="D3" s="4" t="s">
        <v>664</v>
      </c>
      <c r="E3" s="4" t="s">
        <v>897</v>
      </c>
      <c r="F3" s="4" t="s">
        <v>14</v>
      </c>
      <c r="G3" s="4" t="s">
        <v>51</v>
      </c>
      <c r="H3" s="23">
        <f>0.4*60</f>
        <v>24</v>
      </c>
      <c r="I3" s="16"/>
      <c r="J3" s="24" t="s">
        <v>232</v>
      </c>
      <c r="K3" s="25">
        <f>AVERAGE(H3:H31)</f>
        <v>35.121724137931032</v>
      </c>
      <c r="L3" s="26" t="s">
        <v>246</v>
      </c>
      <c r="M3" s="4"/>
      <c r="N3" s="4"/>
      <c r="O3" s="4"/>
      <c r="P3" s="4"/>
      <c r="Q3" s="4"/>
      <c r="R3" s="4"/>
      <c r="S3" s="4"/>
      <c r="T3" s="4"/>
      <c r="U3" s="23"/>
      <c r="V3" s="4"/>
      <c r="W3" s="4"/>
      <c r="X3" s="16"/>
    </row>
    <row r="4" spans="1:24" ht="15.75" customHeight="1" x14ac:dyDescent="0.15">
      <c r="A4" s="4" t="s">
        <v>898</v>
      </c>
      <c r="B4" s="4" t="s">
        <v>895</v>
      </c>
      <c r="C4" s="4" t="s">
        <v>18</v>
      </c>
      <c r="D4" s="4" t="s">
        <v>607</v>
      </c>
      <c r="E4" s="4" t="s">
        <v>899</v>
      </c>
      <c r="F4" s="4" t="s">
        <v>14</v>
      </c>
      <c r="G4" s="4" t="s">
        <v>51</v>
      </c>
      <c r="H4" s="23">
        <v>38</v>
      </c>
      <c r="I4" s="16"/>
      <c r="J4" s="24" t="s">
        <v>235</v>
      </c>
      <c r="K4" s="25">
        <f>STDEV(H3:H31)</f>
        <v>17.176351489551294</v>
      </c>
      <c r="L4" s="26" t="s">
        <v>246</v>
      </c>
      <c r="M4" s="4"/>
      <c r="N4" s="4"/>
      <c r="O4" s="4"/>
      <c r="P4" s="4"/>
      <c r="Q4" s="4"/>
      <c r="R4" s="4"/>
      <c r="S4" s="4"/>
      <c r="T4" s="4"/>
      <c r="U4" s="23"/>
      <c r="V4" s="4"/>
      <c r="W4" s="4"/>
      <c r="X4" s="4"/>
    </row>
    <row r="5" spans="1:24" ht="15.75" customHeight="1" x14ac:dyDescent="0.15">
      <c r="A5" s="4" t="s">
        <v>900</v>
      </c>
      <c r="B5" s="4" t="s">
        <v>895</v>
      </c>
      <c r="C5" s="4" t="s">
        <v>901</v>
      </c>
      <c r="D5" s="4" t="s">
        <v>902</v>
      </c>
      <c r="E5" s="4" t="s">
        <v>899</v>
      </c>
      <c r="F5" s="4" t="s">
        <v>14</v>
      </c>
      <c r="G5" s="4" t="s">
        <v>51</v>
      </c>
      <c r="H5" s="23">
        <v>80</v>
      </c>
      <c r="I5" s="4"/>
      <c r="J5" s="4"/>
      <c r="K5" s="4"/>
      <c r="L5" s="4"/>
      <c r="M5" s="4"/>
      <c r="N5" s="4"/>
      <c r="O5" s="16"/>
      <c r="P5" s="16"/>
      <c r="Q5" s="16"/>
      <c r="R5" s="16"/>
      <c r="S5" s="16"/>
      <c r="T5" s="16"/>
      <c r="U5" s="36"/>
      <c r="V5" s="16"/>
      <c r="W5" s="16"/>
      <c r="X5" s="16"/>
    </row>
    <row r="6" spans="1:24" ht="15.75" customHeight="1" x14ac:dyDescent="0.15">
      <c r="A6" s="4" t="s">
        <v>903</v>
      </c>
      <c r="B6" s="4" t="s">
        <v>904</v>
      </c>
      <c r="C6" s="4" t="s">
        <v>905</v>
      </c>
      <c r="D6" s="4" t="s">
        <v>245</v>
      </c>
      <c r="E6" s="4" t="s">
        <v>906</v>
      </c>
      <c r="F6" s="4" t="s">
        <v>14</v>
      </c>
      <c r="G6" s="4" t="s">
        <v>51</v>
      </c>
      <c r="H6" s="23">
        <v>48.95</v>
      </c>
      <c r="J6" s="4"/>
      <c r="M6" s="4"/>
      <c r="N6" s="4"/>
      <c r="O6" s="7"/>
      <c r="P6" s="4"/>
      <c r="Q6" s="4"/>
      <c r="R6" s="7"/>
      <c r="S6" s="4"/>
      <c r="T6" s="4"/>
      <c r="U6" s="23"/>
      <c r="V6" s="4"/>
      <c r="W6" s="4"/>
      <c r="X6" s="4"/>
    </row>
    <row r="7" spans="1:24" ht="15.75" customHeight="1" x14ac:dyDescent="0.15">
      <c r="A7" s="104" t="s">
        <v>907</v>
      </c>
      <c r="B7" s="7" t="s">
        <v>908</v>
      </c>
      <c r="C7" s="4" t="s">
        <v>909</v>
      </c>
      <c r="D7" s="7" t="s">
        <v>398</v>
      </c>
      <c r="E7" s="7" t="s">
        <v>910</v>
      </c>
      <c r="F7" s="4" t="s">
        <v>14</v>
      </c>
      <c r="G7" s="4" t="s">
        <v>51</v>
      </c>
      <c r="H7" s="23">
        <v>19.61</v>
      </c>
      <c r="I7" s="4"/>
      <c r="J7" s="4"/>
      <c r="M7" s="4"/>
      <c r="N7" s="4"/>
      <c r="O7" s="7"/>
      <c r="P7" s="4"/>
      <c r="Q7" s="4"/>
      <c r="R7" s="7"/>
      <c r="S7" s="4"/>
      <c r="T7" s="4"/>
      <c r="U7" s="23"/>
      <c r="V7" s="4"/>
      <c r="W7" s="4"/>
      <c r="X7" s="4"/>
    </row>
    <row r="8" spans="1:24" ht="15.75" customHeight="1" x14ac:dyDescent="0.15">
      <c r="A8" s="83"/>
      <c r="B8" s="7" t="s">
        <v>911</v>
      </c>
      <c r="C8" s="7" t="s">
        <v>912</v>
      </c>
      <c r="D8" s="7" t="s">
        <v>398</v>
      </c>
      <c r="E8" s="7" t="s">
        <v>910</v>
      </c>
      <c r="F8" s="4" t="s">
        <v>14</v>
      </c>
      <c r="G8" s="4" t="s">
        <v>51</v>
      </c>
      <c r="H8" s="23">
        <v>10.85</v>
      </c>
      <c r="I8" s="4"/>
      <c r="J8" s="4"/>
      <c r="M8" s="4"/>
      <c r="N8" s="4"/>
      <c r="O8" s="7"/>
      <c r="P8" s="4"/>
      <c r="Q8" s="4"/>
      <c r="R8" s="7"/>
      <c r="S8" s="4"/>
      <c r="T8" s="4"/>
      <c r="U8" s="23"/>
      <c r="V8" s="4"/>
      <c r="W8" s="4"/>
      <c r="X8" s="4"/>
    </row>
    <row r="9" spans="1:24" ht="15.75" customHeight="1" x14ac:dyDescent="0.15">
      <c r="A9" s="83"/>
      <c r="B9" s="4" t="s">
        <v>913</v>
      </c>
      <c r="C9" s="7" t="s">
        <v>914</v>
      </c>
      <c r="D9" s="7" t="s">
        <v>398</v>
      </c>
      <c r="E9" s="7" t="s">
        <v>910</v>
      </c>
      <c r="F9" s="4" t="s">
        <v>14</v>
      </c>
      <c r="G9" s="4" t="s">
        <v>51</v>
      </c>
      <c r="H9" s="23">
        <v>15.22</v>
      </c>
      <c r="I9" s="4"/>
      <c r="J9" s="4"/>
      <c r="M9" s="4"/>
      <c r="N9" s="4"/>
      <c r="O9" s="7"/>
      <c r="P9" s="4"/>
      <c r="Q9" s="4"/>
      <c r="R9" s="7"/>
      <c r="S9" s="4"/>
      <c r="T9" s="4"/>
      <c r="U9" s="23"/>
      <c r="V9" s="4"/>
      <c r="W9" s="4"/>
      <c r="X9" s="4"/>
    </row>
    <row r="10" spans="1:24" ht="15.75" customHeight="1" x14ac:dyDescent="0.15">
      <c r="A10" s="83"/>
      <c r="B10" s="4" t="s">
        <v>915</v>
      </c>
      <c r="C10" s="4" t="s">
        <v>916</v>
      </c>
      <c r="D10" s="7" t="s">
        <v>398</v>
      </c>
      <c r="E10" s="7" t="s">
        <v>910</v>
      </c>
      <c r="F10" s="4" t="s">
        <v>14</v>
      </c>
      <c r="G10" s="4" t="s">
        <v>51</v>
      </c>
      <c r="H10" s="23">
        <v>23.69</v>
      </c>
      <c r="I10" s="4"/>
      <c r="J10" s="4"/>
      <c r="M10" s="4"/>
      <c r="N10" s="4"/>
      <c r="O10" s="7"/>
      <c r="P10" s="4"/>
      <c r="Q10" s="4"/>
      <c r="R10" s="7"/>
      <c r="S10" s="4"/>
      <c r="T10" s="4"/>
      <c r="U10" s="23"/>
      <c r="V10" s="4"/>
      <c r="W10" s="4"/>
      <c r="X10" s="7"/>
    </row>
    <row r="11" spans="1:24" ht="15.75" customHeight="1" x14ac:dyDescent="0.15">
      <c r="A11" s="83"/>
      <c r="B11" s="7" t="s">
        <v>908</v>
      </c>
      <c r="C11" s="4" t="s">
        <v>909</v>
      </c>
      <c r="D11" s="7" t="s">
        <v>398</v>
      </c>
      <c r="E11" s="7" t="s">
        <v>917</v>
      </c>
      <c r="F11" s="4" t="s">
        <v>14</v>
      </c>
      <c r="G11" s="4" t="s">
        <v>51</v>
      </c>
      <c r="H11" s="23">
        <v>16.8</v>
      </c>
      <c r="I11" s="4"/>
      <c r="J11" s="4"/>
      <c r="M11" s="4"/>
      <c r="N11" s="4"/>
      <c r="O11" s="7"/>
      <c r="P11" s="4"/>
      <c r="Q11" s="4"/>
      <c r="R11" s="7"/>
      <c r="S11" s="4"/>
      <c r="T11" s="4"/>
      <c r="U11" s="23"/>
      <c r="V11" s="4"/>
      <c r="W11" s="4"/>
      <c r="X11" s="4"/>
    </row>
    <row r="12" spans="1:24" ht="15.75" customHeight="1" x14ac:dyDescent="0.15">
      <c r="A12" s="83"/>
      <c r="B12" s="7" t="s">
        <v>911</v>
      </c>
      <c r="C12" s="7" t="s">
        <v>912</v>
      </c>
      <c r="D12" s="7" t="s">
        <v>398</v>
      </c>
      <c r="E12" s="7" t="s">
        <v>917</v>
      </c>
      <c r="F12" s="4" t="s">
        <v>14</v>
      </c>
      <c r="G12" s="4" t="s">
        <v>51</v>
      </c>
      <c r="H12" s="23">
        <v>8.4600000000000009</v>
      </c>
      <c r="I12" s="4"/>
      <c r="J12" s="4"/>
      <c r="M12" s="4"/>
      <c r="N12" s="4"/>
      <c r="O12" s="7"/>
      <c r="P12" s="4"/>
      <c r="Q12" s="4"/>
      <c r="R12" s="7"/>
      <c r="S12" s="4"/>
      <c r="T12" s="4"/>
      <c r="U12" s="23"/>
      <c r="V12" s="4"/>
      <c r="W12" s="4"/>
      <c r="X12" s="4"/>
    </row>
    <row r="13" spans="1:24" ht="15.75" customHeight="1" x14ac:dyDescent="0.15">
      <c r="A13" s="83"/>
      <c r="B13" s="4" t="s">
        <v>913</v>
      </c>
      <c r="C13" s="7" t="s">
        <v>914</v>
      </c>
      <c r="D13" s="7" t="s">
        <v>398</v>
      </c>
      <c r="E13" s="7" t="s">
        <v>917</v>
      </c>
      <c r="F13" s="4" t="s">
        <v>14</v>
      </c>
      <c r="G13" s="4" t="s">
        <v>51</v>
      </c>
      <c r="H13" s="23">
        <v>9.77</v>
      </c>
      <c r="I13" s="4"/>
      <c r="J13" s="4"/>
      <c r="M13" s="4"/>
      <c r="N13" s="4"/>
      <c r="O13" s="7"/>
      <c r="P13" s="4"/>
      <c r="Q13" s="4"/>
      <c r="R13" s="7"/>
      <c r="S13" s="4"/>
      <c r="T13" s="4"/>
      <c r="U13" s="23"/>
      <c r="V13" s="4"/>
      <c r="W13" s="4"/>
      <c r="X13" s="4"/>
    </row>
    <row r="14" spans="1:24" ht="15.75" customHeight="1" x14ac:dyDescent="0.15">
      <c r="A14" s="83"/>
      <c r="B14" s="4" t="s">
        <v>915</v>
      </c>
      <c r="C14" s="4" t="s">
        <v>916</v>
      </c>
      <c r="D14" s="7" t="s">
        <v>398</v>
      </c>
      <c r="E14" s="7" t="s">
        <v>917</v>
      </c>
      <c r="F14" s="4" t="s">
        <v>14</v>
      </c>
      <c r="G14" s="4" t="s">
        <v>51</v>
      </c>
      <c r="H14" s="23">
        <v>21.71</v>
      </c>
      <c r="I14" s="4"/>
      <c r="J14" s="4"/>
      <c r="M14" s="4"/>
      <c r="N14" s="4"/>
      <c r="O14" s="7"/>
      <c r="P14" s="4"/>
      <c r="Q14" s="4"/>
      <c r="R14" s="7"/>
      <c r="S14" s="4"/>
      <c r="T14" s="4"/>
      <c r="U14" s="23"/>
      <c r="V14" s="4"/>
      <c r="W14" s="4"/>
      <c r="X14" s="4"/>
    </row>
    <row r="15" spans="1:24" ht="15.75" customHeight="1" x14ac:dyDescent="0.15">
      <c r="A15" s="4" t="s">
        <v>918</v>
      </c>
      <c r="B15" s="4" t="s">
        <v>919</v>
      </c>
      <c r="C15" s="4" t="s">
        <v>18</v>
      </c>
      <c r="D15" s="4" t="s">
        <v>920</v>
      </c>
      <c r="E15" s="4" t="s">
        <v>921</v>
      </c>
      <c r="F15" s="4" t="s">
        <v>14</v>
      </c>
      <c r="G15" s="4" t="s">
        <v>51</v>
      </c>
      <c r="H15" s="23">
        <v>35.6</v>
      </c>
      <c r="K15" s="4"/>
      <c r="L15" s="23"/>
      <c r="M15" s="4"/>
      <c r="N15" s="4"/>
      <c r="O15" s="7"/>
      <c r="P15" s="4"/>
      <c r="Q15" s="4"/>
      <c r="R15" s="7"/>
      <c r="S15" s="4"/>
      <c r="T15" s="4"/>
      <c r="U15" s="23"/>
      <c r="V15" s="4"/>
      <c r="W15" s="4"/>
      <c r="X15" s="4"/>
    </row>
    <row r="16" spans="1:24" ht="15.75" customHeight="1" x14ac:dyDescent="0.15">
      <c r="A16" s="4" t="s">
        <v>918</v>
      </c>
      <c r="B16" s="4" t="s">
        <v>919</v>
      </c>
      <c r="C16" s="4" t="s">
        <v>18</v>
      </c>
      <c r="D16" s="4" t="s">
        <v>920</v>
      </c>
      <c r="E16" s="4" t="s">
        <v>922</v>
      </c>
      <c r="F16" s="4" t="s">
        <v>14</v>
      </c>
      <c r="G16" s="4" t="s">
        <v>51</v>
      </c>
      <c r="H16" s="23">
        <v>35.6</v>
      </c>
      <c r="K16" s="4"/>
      <c r="L16" s="23"/>
      <c r="M16" s="4"/>
      <c r="N16" s="4"/>
      <c r="O16" s="7"/>
      <c r="P16" s="4"/>
      <c r="Q16" s="4"/>
      <c r="R16" s="7"/>
      <c r="S16" s="4"/>
      <c r="T16" s="4"/>
      <c r="U16" s="23"/>
      <c r="V16" s="4"/>
      <c r="W16" s="4"/>
      <c r="X16" s="4"/>
    </row>
    <row r="17" spans="1:24" ht="15.75" customHeight="1" x14ac:dyDescent="0.15">
      <c r="A17" s="4" t="s">
        <v>918</v>
      </c>
      <c r="B17" s="4" t="s">
        <v>919</v>
      </c>
      <c r="C17" s="4" t="s">
        <v>18</v>
      </c>
      <c r="D17" s="4" t="s">
        <v>920</v>
      </c>
      <c r="E17" s="4" t="s">
        <v>923</v>
      </c>
      <c r="F17" s="4" t="s">
        <v>14</v>
      </c>
      <c r="G17" s="4" t="s">
        <v>51</v>
      </c>
      <c r="H17" s="23">
        <v>48.2</v>
      </c>
      <c r="K17" s="4"/>
      <c r="L17" s="23"/>
      <c r="M17" s="4"/>
      <c r="N17" s="4"/>
      <c r="O17" s="7"/>
      <c r="P17" s="4"/>
      <c r="Q17" s="4"/>
      <c r="R17" s="7"/>
      <c r="S17" s="4"/>
      <c r="T17" s="4"/>
      <c r="U17" s="23"/>
      <c r="V17" s="4"/>
      <c r="W17" s="4"/>
      <c r="X17" s="4"/>
    </row>
    <row r="18" spans="1:24" ht="15.75" customHeight="1" x14ac:dyDescent="0.15">
      <c r="A18" s="4" t="s">
        <v>918</v>
      </c>
      <c r="B18" s="4" t="s">
        <v>919</v>
      </c>
      <c r="C18" s="4" t="s">
        <v>18</v>
      </c>
      <c r="D18" s="4" t="s">
        <v>920</v>
      </c>
      <c r="E18" s="4" t="s">
        <v>924</v>
      </c>
      <c r="F18" s="4" t="s">
        <v>14</v>
      </c>
      <c r="G18" s="4" t="s">
        <v>51</v>
      </c>
      <c r="H18" s="23">
        <v>43.2</v>
      </c>
      <c r="I18" s="4"/>
      <c r="J18" s="4"/>
      <c r="M18" s="4"/>
      <c r="N18" s="4"/>
      <c r="U18" s="14"/>
    </row>
    <row r="19" spans="1:24" ht="15.75" customHeight="1" x14ac:dyDescent="0.15">
      <c r="A19" s="4" t="s">
        <v>918</v>
      </c>
      <c r="B19" s="4" t="s">
        <v>919</v>
      </c>
      <c r="C19" s="4" t="s">
        <v>18</v>
      </c>
      <c r="D19" s="4" t="s">
        <v>920</v>
      </c>
      <c r="E19" s="4" t="s">
        <v>925</v>
      </c>
      <c r="F19" s="4" t="s">
        <v>14</v>
      </c>
      <c r="G19" s="4" t="s">
        <v>51</v>
      </c>
      <c r="H19" s="23">
        <v>27.8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23"/>
      <c r="V19" s="42"/>
      <c r="W19" s="43"/>
      <c r="X19" s="4"/>
    </row>
    <row r="20" spans="1:24" ht="15.75" customHeight="1" x14ac:dyDescent="0.15">
      <c r="A20" s="4" t="s">
        <v>918</v>
      </c>
      <c r="B20" s="4" t="s">
        <v>919</v>
      </c>
      <c r="C20" s="4" t="s">
        <v>18</v>
      </c>
      <c r="D20" s="4" t="s">
        <v>920</v>
      </c>
      <c r="E20" s="4" t="s">
        <v>926</v>
      </c>
      <c r="F20" s="4" t="s">
        <v>14</v>
      </c>
      <c r="G20" s="4" t="s">
        <v>51</v>
      </c>
      <c r="H20" s="23">
        <v>44</v>
      </c>
      <c r="I20" s="4"/>
      <c r="J20" s="4"/>
      <c r="K20" s="4"/>
      <c r="L20" s="4"/>
      <c r="M20" s="4"/>
      <c r="N20" s="4"/>
      <c r="O20" s="67"/>
      <c r="P20" s="4"/>
      <c r="Q20" s="4"/>
      <c r="R20" s="4"/>
      <c r="S20" s="4"/>
      <c r="T20" s="4"/>
      <c r="U20" s="23"/>
      <c r="V20" s="107"/>
      <c r="W20" s="108"/>
      <c r="X20" s="4"/>
    </row>
    <row r="21" spans="1:24" ht="15.75" customHeight="1" x14ac:dyDescent="0.15">
      <c r="A21" s="4" t="s">
        <v>918</v>
      </c>
      <c r="B21" s="4" t="s">
        <v>919</v>
      </c>
      <c r="C21" s="4" t="s">
        <v>18</v>
      </c>
      <c r="D21" s="4" t="s">
        <v>920</v>
      </c>
      <c r="E21" s="4" t="s">
        <v>927</v>
      </c>
      <c r="F21" s="4" t="s">
        <v>14</v>
      </c>
      <c r="G21" s="4" t="s">
        <v>51</v>
      </c>
      <c r="H21" s="23">
        <v>29.5</v>
      </c>
      <c r="I21" s="4"/>
      <c r="J21" s="4"/>
      <c r="K21" s="4"/>
      <c r="L21" s="4"/>
      <c r="M21" s="4"/>
      <c r="N21" s="4"/>
      <c r="O21" s="67"/>
      <c r="P21" s="4"/>
      <c r="Q21" s="4"/>
      <c r="R21" s="4"/>
      <c r="S21" s="4"/>
      <c r="T21" s="4"/>
      <c r="U21" s="23"/>
      <c r="V21" s="83"/>
      <c r="W21" s="83"/>
      <c r="X21" s="4"/>
    </row>
    <row r="22" spans="1:24" ht="15.75" customHeight="1" x14ac:dyDescent="0.15">
      <c r="A22" s="4" t="s">
        <v>918</v>
      </c>
      <c r="B22" s="4" t="s">
        <v>919</v>
      </c>
      <c r="C22" s="4" t="s">
        <v>18</v>
      </c>
      <c r="D22" s="4" t="s">
        <v>920</v>
      </c>
      <c r="E22" s="4" t="s">
        <v>928</v>
      </c>
      <c r="F22" s="4" t="s">
        <v>14</v>
      </c>
      <c r="G22" s="4" t="s">
        <v>51</v>
      </c>
      <c r="H22" s="23">
        <v>35.4</v>
      </c>
      <c r="J22" s="4"/>
      <c r="K22" s="4"/>
      <c r="L22" s="4"/>
      <c r="M22" s="4"/>
      <c r="N22" s="4"/>
      <c r="O22" s="67"/>
      <c r="P22" s="4"/>
      <c r="Q22" s="4"/>
      <c r="R22" s="4"/>
      <c r="S22" s="4"/>
      <c r="T22" s="4"/>
      <c r="U22" s="23"/>
      <c r="V22" s="83"/>
      <c r="W22" s="83"/>
      <c r="X22" s="4"/>
    </row>
    <row r="23" spans="1:24" ht="15.75" customHeight="1" x14ac:dyDescent="0.15">
      <c r="A23" s="4" t="s">
        <v>918</v>
      </c>
      <c r="B23" s="4" t="s">
        <v>919</v>
      </c>
      <c r="C23" s="4" t="s">
        <v>18</v>
      </c>
      <c r="D23" s="4" t="s">
        <v>920</v>
      </c>
      <c r="E23" s="4" t="s">
        <v>929</v>
      </c>
      <c r="F23" s="4" t="s">
        <v>14</v>
      </c>
      <c r="G23" s="4" t="s">
        <v>51</v>
      </c>
      <c r="H23" s="23">
        <v>60</v>
      </c>
      <c r="I23" s="4"/>
      <c r="J23" s="4"/>
      <c r="K23" s="4"/>
      <c r="L23" s="4"/>
      <c r="M23" s="4"/>
      <c r="N23" s="4"/>
      <c r="O23" s="67"/>
      <c r="P23" s="4"/>
      <c r="Q23" s="4"/>
      <c r="R23" s="4"/>
      <c r="S23" s="4"/>
      <c r="T23" s="4"/>
      <c r="U23" s="23"/>
      <c r="V23" s="83"/>
      <c r="W23" s="83"/>
      <c r="X23" s="4"/>
    </row>
    <row r="24" spans="1:24" ht="15.75" customHeight="1" x14ac:dyDescent="0.15">
      <c r="A24" s="4" t="s">
        <v>918</v>
      </c>
      <c r="B24" s="4" t="s">
        <v>919</v>
      </c>
      <c r="C24" s="4" t="s">
        <v>18</v>
      </c>
      <c r="D24" s="4" t="s">
        <v>920</v>
      </c>
      <c r="E24" s="4" t="s">
        <v>930</v>
      </c>
      <c r="F24" s="4" t="s">
        <v>14</v>
      </c>
      <c r="G24" s="4" t="s">
        <v>51</v>
      </c>
      <c r="H24" s="23">
        <v>56.6</v>
      </c>
      <c r="I24" s="4"/>
      <c r="J24" s="4"/>
      <c r="K24" s="4"/>
      <c r="L24" s="4"/>
      <c r="M24" s="4"/>
      <c r="N24" s="4"/>
      <c r="O24" s="67"/>
      <c r="P24" s="4"/>
      <c r="Q24" s="4"/>
      <c r="R24" s="4"/>
      <c r="S24" s="4"/>
      <c r="T24" s="4"/>
      <c r="U24" s="23"/>
      <c r="V24" s="4"/>
      <c r="W24" s="4"/>
      <c r="X24" s="4"/>
    </row>
    <row r="25" spans="1:24" ht="15.75" customHeight="1" x14ac:dyDescent="0.15">
      <c r="A25" s="4" t="s">
        <v>918</v>
      </c>
      <c r="B25" s="4" t="s">
        <v>919</v>
      </c>
      <c r="C25" s="4" t="s">
        <v>18</v>
      </c>
      <c r="D25" s="4" t="s">
        <v>920</v>
      </c>
      <c r="E25" s="4" t="s">
        <v>931</v>
      </c>
      <c r="F25" s="4" t="s">
        <v>14</v>
      </c>
      <c r="G25" s="4" t="s">
        <v>51</v>
      </c>
      <c r="H25" s="23">
        <v>39.799999999999997</v>
      </c>
      <c r="I25" s="4"/>
      <c r="J25" s="4"/>
      <c r="K25" s="4"/>
      <c r="L25" s="4"/>
      <c r="M25" s="4"/>
      <c r="N25" s="4"/>
      <c r="O25" s="67"/>
      <c r="P25" s="4"/>
      <c r="Q25" s="4"/>
      <c r="R25" s="4"/>
      <c r="S25" s="4"/>
      <c r="T25" s="4"/>
      <c r="U25" s="23"/>
      <c r="V25" s="4"/>
      <c r="W25" s="4"/>
      <c r="X25" s="4"/>
    </row>
    <row r="26" spans="1:24" ht="15.75" customHeight="1" x14ac:dyDescent="0.15">
      <c r="A26" s="4" t="s">
        <v>918</v>
      </c>
      <c r="B26" s="4" t="s">
        <v>919</v>
      </c>
      <c r="C26" s="4" t="s">
        <v>18</v>
      </c>
      <c r="D26" s="4" t="s">
        <v>920</v>
      </c>
      <c r="E26" s="4" t="s">
        <v>932</v>
      </c>
      <c r="F26" s="4" t="s">
        <v>14</v>
      </c>
      <c r="G26" s="4" t="s">
        <v>51</v>
      </c>
      <c r="H26" s="23">
        <v>59.2</v>
      </c>
      <c r="I26" s="4"/>
      <c r="J26" s="4"/>
      <c r="K26" s="4"/>
      <c r="L26" s="4"/>
      <c r="M26" s="4"/>
      <c r="N26" s="4"/>
      <c r="O26" s="67"/>
      <c r="P26" s="4"/>
      <c r="R26" s="4"/>
      <c r="S26" s="4"/>
      <c r="T26" s="4"/>
      <c r="U26" s="23"/>
      <c r="V26" s="4"/>
      <c r="W26" s="4"/>
      <c r="X26" s="4"/>
    </row>
    <row r="27" spans="1:24" ht="15.75" customHeight="1" x14ac:dyDescent="0.15">
      <c r="A27" s="4" t="s">
        <v>918</v>
      </c>
      <c r="B27" s="4" t="s">
        <v>919</v>
      </c>
      <c r="C27" s="4" t="s">
        <v>18</v>
      </c>
      <c r="D27" s="4" t="s">
        <v>920</v>
      </c>
      <c r="E27" s="4" t="s">
        <v>933</v>
      </c>
      <c r="F27" s="4" t="s">
        <v>14</v>
      </c>
      <c r="G27" s="4" t="s">
        <v>51</v>
      </c>
      <c r="H27" s="4">
        <v>42.1</v>
      </c>
      <c r="I27" s="4"/>
      <c r="J27" s="4"/>
      <c r="K27" s="4"/>
      <c r="L27" s="4"/>
      <c r="M27" s="4"/>
      <c r="N27" s="4"/>
      <c r="O27" s="67"/>
      <c r="P27" s="4"/>
      <c r="Q27" s="4"/>
      <c r="R27" s="4"/>
      <c r="S27" s="4"/>
      <c r="T27" s="4"/>
      <c r="U27" s="23"/>
      <c r="V27" s="4"/>
      <c r="W27" s="4"/>
      <c r="X27" s="4"/>
    </row>
    <row r="28" spans="1:24" ht="15.75" customHeight="1" x14ac:dyDescent="0.15">
      <c r="A28" s="4" t="s">
        <v>918</v>
      </c>
      <c r="B28" s="4" t="s">
        <v>919</v>
      </c>
      <c r="C28" s="4" t="s">
        <v>18</v>
      </c>
      <c r="D28" s="4" t="s">
        <v>920</v>
      </c>
      <c r="E28" s="4" t="s">
        <v>934</v>
      </c>
      <c r="F28" s="4" t="s">
        <v>14</v>
      </c>
      <c r="G28" s="4" t="s">
        <v>51</v>
      </c>
      <c r="H28" s="4">
        <v>35.799999999999997</v>
      </c>
      <c r="I28" s="4"/>
      <c r="J28" s="4"/>
      <c r="K28" s="4"/>
      <c r="L28" s="4"/>
      <c r="M28" s="4"/>
      <c r="N28" s="4"/>
      <c r="O28" s="67"/>
      <c r="P28" s="4"/>
      <c r="Q28" s="4"/>
      <c r="R28" s="4"/>
      <c r="S28" s="4"/>
      <c r="T28" s="4"/>
      <c r="U28" s="23"/>
      <c r="V28" s="4"/>
      <c r="W28" s="4"/>
      <c r="X28" s="4"/>
    </row>
    <row r="29" spans="1:24" ht="15.75" customHeight="1" x14ac:dyDescent="0.15">
      <c r="A29" s="4" t="s">
        <v>918</v>
      </c>
      <c r="B29" s="4" t="s">
        <v>919</v>
      </c>
      <c r="C29" s="4" t="s">
        <v>18</v>
      </c>
      <c r="D29" s="4" t="s">
        <v>920</v>
      </c>
      <c r="E29" s="4" t="s">
        <v>935</v>
      </c>
      <c r="F29" s="4" t="s">
        <v>14</v>
      </c>
      <c r="G29" s="4" t="s">
        <v>51</v>
      </c>
      <c r="H29" s="4">
        <v>45.4</v>
      </c>
      <c r="I29" s="4"/>
      <c r="J29" s="4"/>
      <c r="K29" s="4"/>
      <c r="L29" s="4"/>
      <c r="M29" s="4"/>
      <c r="N29" s="4"/>
      <c r="O29" s="67"/>
      <c r="P29" s="7"/>
      <c r="R29" s="7"/>
      <c r="S29" s="4"/>
      <c r="T29" s="4"/>
      <c r="U29" s="23"/>
      <c r="V29" s="4"/>
      <c r="W29" s="4"/>
      <c r="X29" s="4"/>
    </row>
    <row r="30" spans="1:24" ht="15.75" customHeight="1" x14ac:dyDescent="0.15">
      <c r="A30" s="4" t="s">
        <v>918</v>
      </c>
      <c r="B30" s="4" t="s">
        <v>919</v>
      </c>
      <c r="C30" s="4" t="s">
        <v>18</v>
      </c>
      <c r="D30" s="4" t="s">
        <v>920</v>
      </c>
      <c r="E30" s="4" t="s">
        <v>936</v>
      </c>
      <c r="F30" s="4" t="s">
        <v>14</v>
      </c>
      <c r="G30" s="4" t="s">
        <v>51</v>
      </c>
      <c r="H30" s="4">
        <v>46.4</v>
      </c>
      <c r="I30" s="4"/>
      <c r="J30" s="4"/>
      <c r="K30" s="4"/>
      <c r="L30" s="4"/>
      <c r="M30" s="4"/>
      <c r="N30" s="4"/>
      <c r="O30" s="67"/>
      <c r="P30" s="7"/>
      <c r="R30" s="7"/>
      <c r="S30" s="4"/>
      <c r="T30" s="4"/>
      <c r="U30" s="23"/>
      <c r="V30" s="7"/>
      <c r="W30" s="7"/>
      <c r="X30" s="7"/>
    </row>
    <row r="31" spans="1:24" ht="15.75" customHeight="1" x14ac:dyDescent="0.15">
      <c r="A31" s="7" t="s">
        <v>937</v>
      </c>
      <c r="B31" s="7" t="s">
        <v>18</v>
      </c>
      <c r="C31" s="7" t="s">
        <v>938</v>
      </c>
      <c r="D31" s="7" t="s">
        <v>504</v>
      </c>
      <c r="E31" s="7" t="s">
        <v>18</v>
      </c>
      <c r="F31" s="4" t="s">
        <v>14</v>
      </c>
      <c r="G31" s="4" t="s">
        <v>51</v>
      </c>
      <c r="H31" s="4">
        <f>2.7+6.67+0.53+6.97</f>
        <v>16.87</v>
      </c>
      <c r="I31" s="4"/>
      <c r="J31" s="4"/>
      <c r="K31" s="4"/>
      <c r="L31" s="4"/>
      <c r="M31" s="4"/>
      <c r="N31" s="4"/>
      <c r="O31" s="67"/>
      <c r="P31" s="4"/>
      <c r="Q31" s="4"/>
      <c r="R31" s="7"/>
      <c r="S31" s="4"/>
      <c r="T31" s="4"/>
      <c r="U31" s="23"/>
      <c r="V31" s="7"/>
      <c r="W31" s="7"/>
      <c r="X31" s="7"/>
    </row>
    <row r="32" spans="1:24" ht="15.75" customHeight="1" x14ac:dyDescent="0.15">
      <c r="I32" s="4"/>
      <c r="J32" s="4"/>
      <c r="K32" s="4"/>
      <c r="L32" s="4"/>
      <c r="M32" s="4"/>
      <c r="N32" s="4"/>
      <c r="O32" s="67"/>
      <c r="P32" s="4"/>
      <c r="Q32" s="4"/>
      <c r="R32" s="7"/>
      <c r="S32" s="4"/>
      <c r="T32" s="4"/>
      <c r="U32" s="23"/>
      <c r="V32" s="4"/>
      <c r="W32" s="4"/>
      <c r="X32" s="4"/>
    </row>
    <row r="33" spans="9:24" ht="15.75" customHeight="1" x14ac:dyDescent="0.15">
      <c r="I33" s="4"/>
      <c r="J33" s="4"/>
      <c r="K33" s="4"/>
      <c r="L33" s="4"/>
      <c r="M33" s="4"/>
      <c r="N33" s="4"/>
      <c r="O33" s="67"/>
      <c r="P33" s="7"/>
      <c r="R33" s="7"/>
      <c r="S33" s="4"/>
      <c r="T33" s="4"/>
      <c r="U33" s="23"/>
      <c r="V33" s="4"/>
      <c r="W33" s="4"/>
      <c r="X33" s="4"/>
    </row>
    <row r="34" spans="9:24" ht="15.75" customHeight="1" x14ac:dyDescent="0.15">
      <c r="I34" s="4"/>
      <c r="J34" s="4"/>
      <c r="K34" s="4"/>
      <c r="L34" s="4"/>
      <c r="M34" s="4"/>
      <c r="N34" s="4"/>
      <c r="O34" s="67"/>
      <c r="P34" s="7"/>
      <c r="R34" s="7"/>
      <c r="S34" s="4"/>
      <c r="T34" s="4"/>
      <c r="U34" s="23"/>
      <c r="V34" s="7"/>
      <c r="W34" s="7"/>
      <c r="X34" s="7"/>
    </row>
    <row r="35" spans="9:24" ht="15.75" customHeight="1" x14ac:dyDescent="0.15">
      <c r="I35" s="4"/>
      <c r="J35" s="4"/>
      <c r="K35" s="4"/>
      <c r="L35" s="4"/>
      <c r="M35" s="4"/>
      <c r="N35" s="4"/>
      <c r="O35" s="67"/>
      <c r="P35" s="4"/>
      <c r="Q35" s="4"/>
      <c r="R35" s="7"/>
      <c r="S35" s="4"/>
      <c r="T35" s="4"/>
      <c r="U35" s="23"/>
      <c r="V35" s="7"/>
      <c r="W35" s="7"/>
      <c r="X35" s="7"/>
    </row>
    <row r="36" spans="9:24" ht="15.75" customHeight="1" x14ac:dyDescent="0.15">
      <c r="I36" s="4"/>
      <c r="J36" s="4"/>
      <c r="K36" s="4"/>
      <c r="L36" s="4"/>
      <c r="M36" s="4"/>
      <c r="N36" s="4"/>
      <c r="O36" s="67"/>
      <c r="P36" s="4"/>
      <c r="Q36" s="4"/>
      <c r="R36" s="7"/>
      <c r="S36" s="4"/>
      <c r="T36" s="4"/>
      <c r="U36" s="23"/>
      <c r="V36" s="4"/>
      <c r="W36" s="4"/>
      <c r="X36" s="4"/>
    </row>
    <row r="37" spans="9:24" ht="15.75" customHeight="1" x14ac:dyDescent="0.15">
      <c r="I37" s="4"/>
      <c r="J37" s="4"/>
      <c r="K37" s="4"/>
      <c r="L37" s="4"/>
      <c r="M37" s="4"/>
      <c r="N37" s="4"/>
      <c r="O37" s="4"/>
      <c r="P37" s="4"/>
      <c r="Q37" s="4"/>
      <c r="S37" s="4"/>
      <c r="T37" s="4"/>
      <c r="U37" s="23"/>
      <c r="V37" s="4"/>
      <c r="W37" s="4"/>
      <c r="X37" s="4"/>
    </row>
    <row r="38" spans="9:24" ht="15.75" customHeight="1" x14ac:dyDescent="0.15"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23"/>
      <c r="V38" s="4"/>
      <c r="W38" s="4"/>
      <c r="X38" s="4"/>
    </row>
    <row r="39" spans="9:24" ht="15.75" customHeight="1" x14ac:dyDescent="0.15"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23"/>
      <c r="V39" s="4"/>
      <c r="W39" s="4"/>
      <c r="X39" s="4"/>
    </row>
    <row r="40" spans="9:24" ht="15.75" customHeight="1" x14ac:dyDescent="0.15"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23"/>
      <c r="V40" s="4"/>
      <c r="W40" s="4"/>
      <c r="X40" s="4"/>
    </row>
    <row r="41" spans="9:24" ht="15.75" customHeight="1" x14ac:dyDescent="0.15"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23"/>
      <c r="V41" s="4"/>
      <c r="W41" s="4"/>
      <c r="X41" s="4"/>
    </row>
    <row r="42" spans="9:24" ht="15.75" customHeight="1" x14ac:dyDescent="0.15"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23"/>
      <c r="V42" s="4"/>
      <c r="W42" s="4"/>
      <c r="X42" s="4"/>
    </row>
    <row r="43" spans="9:24" ht="15.75" customHeight="1" x14ac:dyDescent="0.15"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23"/>
      <c r="V43" s="4"/>
      <c r="W43" s="4"/>
      <c r="X43" s="4"/>
    </row>
    <row r="44" spans="9:24" ht="15.75" customHeight="1" x14ac:dyDescent="0.15"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23"/>
      <c r="V44" s="4"/>
      <c r="W44" s="4"/>
      <c r="X44" s="4"/>
    </row>
    <row r="45" spans="9:24" ht="15.75" customHeight="1" x14ac:dyDescent="0.15"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23"/>
      <c r="V45" s="4"/>
      <c r="W45" s="4"/>
      <c r="X45" s="4"/>
    </row>
    <row r="46" spans="9:24" ht="15.75" customHeight="1" x14ac:dyDescent="0.15"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23"/>
      <c r="V46" s="4"/>
      <c r="W46" s="4"/>
      <c r="X46" s="4"/>
    </row>
    <row r="47" spans="9:24" ht="15.75" customHeight="1" x14ac:dyDescent="0.15"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23"/>
      <c r="V47" s="4"/>
      <c r="W47" s="4"/>
      <c r="X47" s="4"/>
    </row>
    <row r="48" spans="9:24" ht="15.75" customHeight="1" x14ac:dyDescent="0.15"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23"/>
      <c r="V48" s="4"/>
      <c r="W48" s="4"/>
      <c r="X48" s="4"/>
    </row>
    <row r="49" spans="1:24" ht="15.75" customHeight="1" x14ac:dyDescent="0.15">
      <c r="I49" s="4"/>
      <c r="J49" s="4"/>
      <c r="K49" s="4"/>
      <c r="L49" s="4"/>
      <c r="M49" s="4"/>
      <c r="N49" s="4"/>
      <c r="O49" s="4"/>
      <c r="P49" s="4"/>
      <c r="R49" s="4"/>
      <c r="S49" s="4"/>
      <c r="T49" s="4"/>
      <c r="U49" s="23"/>
      <c r="V49" s="7"/>
      <c r="W49" s="7"/>
      <c r="X49" s="7"/>
    </row>
    <row r="50" spans="1:24" ht="15.75" customHeight="1" x14ac:dyDescent="0.15"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23"/>
      <c r="V50" s="7"/>
      <c r="W50" s="7"/>
      <c r="X50" s="7"/>
    </row>
    <row r="51" spans="1:24" ht="15.75" customHeight="1" x14ac:dyDescent="0.15"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23"/>
      <c r="V51" s="7"/>
      <c r="W51" s="7"/>
      <c r="X51" s="7"/>
    </row>
    <row r="52" spans="1:24" ht="15.75" customHeight="1" x14ac:dyDescent="0.15"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15"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15"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15"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15">
      <c r="A56" s="4"/>
      <c r="B56" s="4"/>
      <c r="C56" s="4"/>
      <c r="D56" s="4"/>
      <c r="E56" s="4"/>
      <c r="F56" s="4"/>
      <c r="G56" s="4"/>
      <c r="H56" s="2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15">
      <c r="A57" s="4"/>
      <c r="B57" s="4"/>
      <c r="C57" s="4"/>
      <c r="D57" s="4"/>
      <c r="E57" s="4"/>
      <c r="F57" s="4"/>
      <c r="G57" s="4"/>
      <c r="H57" s="2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15">
      <c r="A58" s="4"/>
      <c r="B58" s="4"/>
      <c r="C58" s="4"/>
      <c r="D58" s="4"/>
      <c r="E58" s="4"/>
      <c r="F58" s="4"/>
      <c r="G58" s="4"/>
      <c r="H58" s="2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15">
      <c r="A59" s="4"/>
      <c r="B59" s="4"/>
      <c r="C59" s="4"/>
      <c r="D59" s="4"/>
      <c r="E59" s="4"/>
      <c r="F59" s="4"/>
      <c r="G59" s="4"/>
      <c r="H59" s="2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15">
      <c r="A60" s="4"/>
      <c r="B60" s="4"/>
      <c r="C60" s="4"/>
      <c r="D60" s="4"/>
      <c r="E60" s="4"/>
      <c r="F60" s="4"/>
      <c r="G60" s="4"/>
      <c r="H60" s="2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15">
      <c r="A61" s="4"/>
      <c r="B61" s="4"/>
      <c r="C61" s="4"/>
      <c r="D61" s="4"/>
      <c r="E61" s="4"/>
      <c r="F61" s="4"/>
      <c r="G61" s="4"/>
      <c r="H61" s="2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15">
      <c r="A62" s="4"/>
      <c r="B62" s="4"/>
      <c r="C62" s="4"/>
      <c r="D62" s="4"/>
      <c r="E62" s="4"/>
      <c r="F62" s="4"/>
      <c r="G62" s="4"/>
      <c r="H62" s="2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15">
      <c r="A63" s="4"/>
      <c r="B63" s="4"/>
      <c r="C63" s="4"/>
      <c r="D63" s="4"/>
      <c r="E63" s="4"/>
      <c r="F63" s="4"/>
      <c r="G63" s="4"/>
      <c r="H63" s="2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15">
      <c r="A64" s="4"/>
      <c r="B64" s="4"/>
      <c r="C64" s="4"/>
      <c r="D64" s="4"/>
      <c r="E64" s="4"/>
      <c r="F64" s="4"/>
      <c r="G64" s="4"/>
      <c r="H64" s="2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15">
      <c r="A65" s="4"/>
      <c r="B65" s="4"/>
      <c r="C65" s="4"/>
      <c r="D65" s="4"/>
      <c r="E65" s="4"/>
      <c r="F65" s="4"/>
      <c r="G65" s="4"/>
      <c r="H65" s="2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15">
      <c r="A66" s="4"/>
      <c r="B66" s="4"/>
      <c r="C66" s="4"/>
      <c r="D66" s="4"/>
      <c r="E66" s="4"/>
      <c r="F66" s="4"/>
      <c r="G66" s="4"/>
      <c r="H66" s="2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15">
      <c r="A67" s="4"/>
      <c r="B67" s="4"/>
      <c r="C67" s="4"/>
      <c r="D67" s="4"/>
      <c r="E67" s="4"/>
      <c r="F67" s="4"/>
      <c r="G67" s="4"/>
      <c r="H67" s="2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15">
      <c r="A68" s="4"/>
      <c r="B68" s="4"/>
      <c r="C68" s="4"/>
      <c r="D68" s="4"/>
      <c r="E68" s="4"/>
      <c r="F68" s="4"/>
      <c r="G68" s="4"/>
      <c r="H68" s="2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15">
      <c r="A69" s="4"/>
      <c r="B69" s="4"/>
      <c r="C69" s="4"/>
      <c r="D69" s="4"/>
      <c r="E69" s="4"/>
      <c r="F69" s="4"/>
      <c r="G69" s="4"/>
      <c r="H69" s="2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15">
      <c r="A70" s="4"/>
      <c r="B70" s="4"/>
      <c r="C70" s="4"/>
      <c r="D70" s="4"/>
      <c r="E70" s="4"/>
      <c r="F70" s="4"/>
      <c r="G70" s="4"/>
      <c r="H70" s="2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15">
      <c r="A71" s="4"/>
      <c r="B71" s="4"/>
      <c r="C71" s="4"/>
      <c r="D71" s="4"/>
      <c r="E71" s="4"/>
      <c r="F71" s="4"/>
      <c r="G71" s="4"/>
      <c r="H71" s="2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15">
      <c r="A72" s="4"/>
      <c r="B72" s="4"/>
      <c r="C72" s="4"/>
      <c r="D72" s="4"/>
      <c r="E72" s="4"/>
      <c r="F72" s="4"/>
      <c r="G72" s="4"/>
      <c r="H72" s="2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15">
      <c r="A73" s="4"/>
      <c r="B73" s="4"/>
      <c r="C73" s="4"/>
      <c r="D73" s="4"/>
      <c r="E73" s="4"/>
      <c r="F73" s="4"/>
      <c r="G73" s="4"/>
      <c r="H73" s="2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15">
      <c r="A74" s="4"/>
      <c r="B74" s="4"/>
      <c r="C74" s="4"/>
      <c r="D74" s="4"/>
      <c r="E74" s="4"/>
      <c r="F74" s="4"/>
      <c r="G74" s="4"/>
      <c r="H74" s="2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15">
      <c r="A75" s="4"/>
      <c r="B75" s="4"/>
      <c r="C75" s="4"/>
      <c r="D75" s="4"/>
      <c r="E75" s="4"/>
      <c r="F75" s="4"/>
      <c r="G75" s="4"/>
      <c r="H75" s="2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15">
      <c r="A76" s="4"/>
      <c r="B76" s="4"/>
      <c r="C76" s="4"/>
      <c r="D76" s="4"/>
      <c r="E76" s="4"/>
      <c r="F76" s="4"/>
      <c r="G76" s="4"/>
      <c r="H76" s="2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15">
      <c r="A77" s="4"/>
      <c r="B77" s="4"/>
      <c r="C77" s="4"/>
      <c r="D77" s="4"/>
      <c r="E77" s="4"/>
      <c r="F77" s="4"/>
      <c r="G77" s="4"/>
      <c r="H77" s="2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15">
      <c r="A78" s="4"/>
      <c r="B78" s="4"/>
      <c r="C78" s="4"/>
      <c r="D78" s="4"/>
      <c r="E78" s="4"/>
      <c r="F78" s="4"/>
      <c r="G78" s="4"/>
      <c r="H78" s="2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15">
      <c r="A79" s="4"/>
      <c r="B79" s="4"/>
      <c r="C79" s="4"/>
      <c r="D79" s="4"/>
      <c r="E79" s="4"/>
      <c r="F79" s="4"/>
      <c r="G79" s="4"/>
      <c r="H79" s="2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15">
      <c r="A80" s="4"/>
      <c r="B80" s="4"/>
      <c r="C80" s="4"/>
      <c r="D80" s="4"/>
      <c r="E80" s="4"/>
      <c r="F80" s="4"/>
      <c r="G80" s="4"/>
      <c r="H80" s="2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15">
      <c r="A81" s="4"/>
      <c r="B81" s="4"/>
      <c r="C81" s="4"/>
      <c r="D81" s="4"/>
      <c r="E81" s="4"/>
      <c r="F81" s="4"/>
      <c r="G81" s="4"/>
      <c r="H81" s="2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15">
      <c r="A82" s="4"/>
      <c r="B82" s="4"/>
      <c r="C82" s="4"/>
      <c r="D82" s="4"/>
      <c r="E82" s="4"/>
      <c r="F82" s="4"/>
      <c r="G82" s="4"/>
      <c r="H82" s="2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15">
      <c r="A83" s="4"/>
      <c r="B83" s="4"/>
      <c r="C83" s="4"/>
      <c r="D83" s="4"/>
      <c r="E83" s="4"/>
      <c r="F83" s="4"/>
      <c r="G83" s="4"/>
      <c r="H83" s="2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15">
      <c r="A84" s="4"/>
      <c r="B84" s="4"/>
      <c r="C84" s="4"/>
      <c r="D84" s="4"/>
      <c r="E84" s="4"/>
      <c r="F84" s="4"/>
      <c r="G84" s="4"/>
      <c r="H84" s="2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15">
      <c r="A85" s="4"/>
      <c r="B85" s="4"/>
      <c r="C85" s="4"/>
      <c r="D85" s="4"/>
      <c r="E85" s="4"/>
      <c r="F85" s="4"/>
      <c r="G85" s="4"/>
      <c r="H85" s="2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15">
      <c r="A86" s="4"/>
      <c r="B86" s="4"/>
      <c r="C86" s="4"/>
      <c r="D86" s="4"/>
      <c r="E86" s="4"/>
      <c r="F86" s="4"/>
      <c r="G86" s="4"/>
      <c r="H86" s="2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15">
      <c r="A87" s="4"/>
      <c r="B87" s="4"/>
      <c r="C87" s="4"/>
      <c r="D87" s="4"/>
      <c r="E87" s="4"/>
      <c r="F87" s="4"/>
      <c r="G87" s="4"/>
      <c r="H87" s="2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15">
      <c r="A88" s="4"/>
      <c r="B88" s="4"/>
      <c r="C88" s="4"/>
      <c r="D88" s="4"/>
      <c r="E88" s="4"/>
      <c r="F88" s="4"/>
      <c r="G88" s="4"/>
      <c r="H88" s="2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15">
      <c r="A89" s="4"/>
      <c r="B89" s="4"/>
      <c r="C89" s="4"/>
      <c r="D89" s="4"/>
      <c r="E89" s="4"/>
      <c r="F89" s="4"/>
      <c r="G89" s="4"/>
      <c r="H89" s="2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15">
      <c r="A90" s="4"/>
      <c r="B90" s="4"/>
      <c r="C90" s="4"/>
      <c r="D90" s="4"/>
      <c r="E90" s="4"/>
      <c r="F90" s="4"/>
      <c r="G90" s="4"/>
      <c r="H90" s="2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15">
      <c r="A91" s="4"/>
      <c r="B91" s="4"/>
      <c r="C91" s="4"/>
      <c r="D91" s="4"/>
      <c r="E91" s="4"/>
      <c r="F91" s="4"/>
      <c r="G91" s="4"/>
      <c r="H91" s="2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15">
      <c r="A92" s="4"/>
      <c r="B92" s="4"/>
      <c r="C92" s="4"/>
      <c r="D92" s="4"/>
      <c r="E92" s="4"/>
      <c r="F92" s="4"/>
      <c r="G92" s="4"/>
      <c r="H92" s="2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15">
      <c r="A93" s="4"/>
      <c r="B93" s="4"/>
      <c r="C93" s="4"/>
      <c r="D93" s="4"/>
      <c r="E93" s="4"/>
      <c r="F93" s="4"/>
      <c r="G93" s="4"/>
      <c r="H93" s="2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15">
      <c r="A94" s="4"/>
      <c r="B94" s="4"/>
      <c r="C94" s="4"/>
      <c r="D94" s="4"/>
      <c r="E94" s="4"/>
      <c r="F94" s="4"/>
      <c r="G94" s="4"/>
      <c r="H94" s="2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15">
      <c r="A95" s="4"/>
      <c r="B95" s="4"/>
      <c r="C95" s="4"/>
      <c r="D95" s="4"/>
      <c r="E95" s="4"/>
      <c r="F95" s="4"/>
      <c r="G95" s="4"/>
      <c r="H95" s="2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15">
      <c r="A96" s="4"/>
      <c r="B96" s="4"/>
      <c r="C96" s="4"/>
      <c r="D96" s="4"/>
      <c r="E96" s="4"/>
      <c r="F96" s="4"/>
      <c r="G96" s="4"/>
      <c r="H96" s="2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15">
      <c r="A97" s="4"/>
      <c r="B97" s="4"/>
      <c r="C97" s="4"/>
      <c r="D97" s="4"/>
      <c r="E97" s="4"/>
      <c r="F97" s="4"/>
      <c r="G97" s="4"/>
      <c r="H97" s="2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15">
      <c r="A98" s="4"/>
      <c r="B98" s="4"/>
      <c r="C98" s="4"/>
      <c r="D98" s="4"/>
      <c r="E98" s="4"/>
      <c r="F98" s="4"/>
      <c r="G98" s="4"/>
      <c r="H98" s="2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15">
      <c r="A99" s="4"/>
      <c r="B99" s="4"/>
      <c r="C99" s="4"/>
      <c r="D99" s="4"/>
      <c r="E99" s="4"/>
      <c r="F99" s="4"/>
      <c r="G99" s="4"/>
      <c r="H99" s="2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15">
      <c r="A100" s="4"/>
      <c r="B100" s="4"/>
      <c r="C100" s="4"/>
      <c r="D100" s="4"/>
      <c r="E100" s="4"/>
      <c r="F100" s="4"/>
      <c r="G100" s="4"/>
      <c r="H100" s="2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15">
      <c r="A101" s="4"/>
      <c r="B101" s="4"/>
      <c r="C101" s="4"/>
      <c r="D101" s="4"/>
      <c r="E101" s="4"/>
      <c r="F101" s="4"/>
      <c r="G101" s="4"/>
      <c r="H101" s="2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15">
      <c r="A102" s="4"/>
      <c r="B102" s="4"/>
      <c r="C102" s="4"/>
      <c r="D102" s="4"/>
      <c r="E102" s="4"/>
      <c r="F102" s="4"/>
      <c r="G102" s="4"/>
      <c r="H102" s="2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15">
      <c r="A103" s="4"/>
      <c r="B103" s="4"/>
      <c r="C103" s="4"/>
      <c r="D103" s="4"/>
      <c r="E103" s="4"/>
      <c r="F103" s="4"/>
      <c r="G103" s="4"/>
      <c r="H103" s="2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15">
      <c r="A104" s="4"/>
      <c r="B104" s="4"/>
      <c r="C104" s="4"/>
      <c r="D104" s="4"/>
      <c r="E104" s="4"/>
      <c r="F104" s="4"/>
      <c r="G104" s="4"/>
      <c r="H104" s="2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15">
      <c r="A105" s="4"/>
      <c r="B105" s="4"/>
      <c r="C105" s="4"/>
      <c r="D105" s="4"/>
      <c r="E105" s="4"/>
      <c r="F105" s="4"/>
      <c r="G105" s="4"/>
      <c r="H105" s="2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15">
      <c r="A106" s="4"/>
      <c r="B106" s="4"/>
      <c r="C106" s="4"/>
      <c r="D106" s="4"/>
      <c r="E106" s="4"/>
      <c r="F106" s="4"/>
      <c r="G106" s="4"/>
      <c r="H106" s="2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15">
      <c r="A107" s="4"/>
      <c r="B107" s="4"/>
      <c r="C107" s="4"/>
      <c r="D107" s="4"/>
      <c r="E107" s="4"/>
      <c r="F107" s="4"/>
      <c r="G107" s="4"/>
      <c r="H107" s="2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15">
      <c r="A108" s="4"/>
      <c r="B108" s="4"/>
      <c r="C108" s="4"/>
      <c r="D108" s="4"/>
      <c r="E108" s="4"/>
      <c r="F108" s="4"/>
      <c r="G108" s="4"/>
      <c r="H108" s="2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15">
      <c r="A109" s="4"/>
      <c r="B109" s="4"/>
      <c r="C109" s="4"/>
      <c r="D109" s="4"/>
      <c r="E109" s="4"/>
      <c r="F109" s="4"/>
      <c r="G109" s="4"/>
      <c r="H109" s="2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15">
      <c r="A110" s="4"/>
      <c r="B110" s="4"/>
      <c r="C110" s="4"/>
      <c r="D110" s="4"/>
      <c r="E110" s="4"/>
      <c r="F110" s="4"/>
      <c r="G110" s="4"/>
      <c r="H110" s="2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15">
      <c r="A111" s="4"/>
      <c r="B111" s="4"/>
      <c r="C111" s="4"/>
      <c r="D111" s="4"/>
      <c r="E111" s="4"/>
      <c r="F111" s="4"/>
      <c r="G111" s="4"/>
      <c r="H111" s="2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15">
      <c r="A112" s="4"/>
      <c r="B112" s="4"/>
      <c r="C112" s="4"/>
      <c r="D112" s="4"/>
      <c r="E112" s="4"/>
      <c r="F112" s="4"/>
      <c r="G112" s="4"/>
      <c r="H112" s="2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15">
      <c r="A113" s="4"/>
      <c r="B113" s="4"/>
      <c r="C113" s="4"/>
      <c r="D113" s="4"/>
      <c r="E113" s="4"/>
      <c r="F113" s="4"/>
      <c r="G113" s="4"/>
      <c r="H113" s="2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15">
      <c r="A114" s="4"/>
      <c r="B114" s="4"/>
      <c r="C114" s="4"/>
      <c r="D114" s="4"/>
      <c r="E114" s="4"/>
      <c r="F114" s="4"/>
      <c r="G114" s="4"/>
      <c r="H114" s="2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15">
      <c r="A115" s="4"/>
      <c r="B115" s="4"/>
      <c r="C115" s="4"/>
      <c r="D115" s="4"/>
      <c r="E115" s="4"/>
      <c r="F115" s="4"/>
      <c r="G115" s="4"/>
      <c r="H115" s="2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15">
      <c r="A116" s="4"/>
      <c r="B116" s="4"/>
      <c r="C116" s="4"/>
      <c r="D116" s="4"/>
      <c r="E116" s="4"/>
      <c r="F116" s="4"/>
      <c r="G116" s="4"/>
      <c r="H116" s="2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15">
      <c r="A117" s="4"/>
      <c r="B117" s="4"/>
      <c r="C117" s="4"/>
      <c r="D117" s="4"/>
      <c r="E117" s="4"/>
      <c r="F117" s="4"/>
      <c r="G117" s="4"/>
      <c r="H117" s="2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15">
      <c r="A118" s="4"/>
      <c r="B118" s="4"/>
      <c r="C118" s="4"/>
      <c r="D118" s="4"/>
      <c r="E118" s="4"/>
      <c r="F118" s="4"/>
      <c r="G118" s="4"/>
      <c r="H118" s="2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15">
      <c r="A119" s="4"/>
      <c r="B119" s="4"/>
      <c r="C119" s="4"/>
      <c r="D119" s="4"/>
      <c r="E119" s="4"/>
      <c r="F119" s="4"/>
      <c r="G119" s="4"/>
      <c r="H119" s="2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15">
      <c r="A120" s="4"/>
      <c r="B120" s="4"/>
      <c r="C120" s="4"/>
      <c r="D120" s="4"/>
      <c r="E120" s="4"/>
      <c r="F120" s="4"/>
      <c r="G120" s="4"/>
      <c r="H120" s="2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15">
      <c r="A121" s="4"/>
      <c r="B121" s="4"/>
      <c r="C121" s="4"/>
      <c r="D121" s="4"/>
      <c r="E121" s="4"/>
      <c r="F121" s="4"/>
      <c r="G121" s="4"/>
      <c r="H121" s="2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15">
      <c r="A122" s="4"/>
      <c r="B122" s="4"/>
      <c r="C122" s="4"/>
      <c r="D122" s="4"/>
      <c r="E122" s="4"/>
      <c r="F122" s="4"/>
      <c r="G122" s="4"/>
      <c r="H122" s="2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15">
      <c r="A123" s="4"/>
      <c r="B123" s="4"/>
      <c r="C123" s="4"/>
      <c r="D123" s="4"/>
      <c r="E123" s="4"/>
      <c r="F123" s="4"/>
      <c r="G123" s="4"/>
      <c r="H123" s="2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15">
      <c r="A124" s="4"/>
      <c r="B124" s="4"/>
      <c r="C124" s="4"/>
      <c r="D124" s="4"/>
      <c r="E124" s="4"/>
      <c r="F124" s="4"/>
      <c r="G124" s="4"/>
      <c r="H124" s="2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15">
      <c r="A125" s="4"/>
      <c r="B125" s="4"/>
      <c r="C125" s="4"/>
      <c r="D125" s="4"/>
      <c r="E125" s="4"/>
      <c r="F125" s="4"/>
      <c r="G125" s="4"/>
      <c r="H125" s="2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15">
      <c r="A126" s="4"/>
      <c r="B126" s="4"/>
      <c r="C126" s="4"/>
      <c r="D126" s="4"/>
      <c r="E126" s="4"/>
      <c r="F126" s="4"/>
      <c r="G126" s="4"/>
      <c r="H126" s="2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15">
      <c r="A127" s="4"/>
      <c r="B127" s="4"/>
      <c r="C127" s="4"/>
      <c r="D127" s="4"/>
      <c r="E127" s="4"/>
      <c r="F127" s="4"/>
      <c r="G127" s="4"/>
      <c r="H127" s="2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15">
      <c r="A128" s="4"/>
      <c r="B128" s="4"/>
      <c r="C128" s="4"/>
      <c r="D128" s="4"/>
      <c r="E128" s="4"/>
      <c r="F128" s="4"/>
      <c r="G128" s="4"/>
      <c r="H128" s="2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15">
      <c r="A129" s="4"/>
      <c r="B129" s="4"/>
      <c r="C129" s="4"/>
      <c r="D129" s="4"/>
      <c r="E129" s="4"/>
      <c r="F129" s="4"/>
      <c r="G129" s="4"/>
      <c r="H129" s="2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15">
      <c r="A130" s="4"/>
      <c r="B130" s="4"/>
      <c r="C130" s="4"/>
      <c r="D130" s="4"/>
      <c r="E130" s="4"/>
      <c r="F130" s="4"/>
      <c r="G130" s="4"/>
      <c r="H130" s="2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15">
      <c r="A131" s="4"/>
      <c r="B131" s="4"/>
      <c r="C131" s="4"/>
      <c r="D131" s="4"/>
      <c r="E131" s="4"/>
      <c r="F131" s="4"/>
      <c r="G131" s="4"/>
      <c r="H131" s="2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15">
      <c r="A132" s="4"/>
      <c r="B132" s="4"/>
      <c r="C132" s="4"/>
      <c r="D132" s="4"/>
      <c r="E132" s="4"/>
      <c r="F132" s="4"/>
      <c r="G132" s="4"/>
      <c r="H132" s="2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15">
      <c r="A133" s="4"/>
      <c r="B133" s="4"/>
      <c r="C133" s="4"/>
      <c r="D133" s="4"/>
      <c r="E133" s="4"/>
      <c r="F133" s="4"/>
      <c r="G133" s="4"/>
      <c r="H133" s="2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15">
      <c r="A134" s="4"/>
      <c r="B134" s="4"/>
      <c r="C134" s="4"/>
      <c r="D134" s="4"/>
      <c r="E134" s="4"/>
      <c r="F134" s="4"/>
      <c r="G134" s="4"/>
      <c r="H134" s="2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15">
      <c r="A135" s="4"/>
      <c r="B135" s="4"/>
      <c r="C135" s="4"/>
      <c r="D135" s="4"/>
      <c r="E135" s="4"/>
      <c r="F135" s="4"/>
      <c r="G135" s="4"/>
      <c r="H135" s="2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15">
      <c r="A136" s="4"/>
      <c r="B136" s="4"/>
      <c r="C136" s="4"/>
      <c r="D136" s="4"/>
      <c r="E136" s="4"/>
      <c r="F136" s="4"/>
      <c r="G136" s="4"/>
      <c r="H136" s="2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15">
      <c r="A137" s="4"/>
      <c r="B137" s="4"/>
      <c r="C137" s="4"/>
      <c r="D137" s="4"/>
      <c r="E137" s="4"/>
      <c r="F137" s="4"/>
      <c r="G137" s="4"/>
      <c r="H137" s="2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15">
      <c r="A138" s="4"/>
      <c r="B138" s="4"/>
      <c r="C138" s="4"/>
      <c r="D138" s="4"/>
      <c r="E138" s="4"/>
      <c r="F138" s="4"/>
      <c r="G138" s="4"/>
      <c r="H138" s="2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15">
      <c r="A139" s="4"/>
      <c r="B139" s="4"/>
      <c r="C139" s="4"/>
      <c r="D139" s="4"/>
      <c r="E139" s="4"/>
      <c r="F139" s="4"/>
      <c r="G139" s="4"/>
      <c r="H139" s="2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15">
      <c r="A140" s="4"/>
      <c r="B140" s="4"/>
      <c r="C140" s="4"/>
      <c r="D140" s="4"/>
      <c r="E140" s="4"/>
      <c r="F140" s="4"/>
      <c r="G140" s="4"/>
      <c r="H140" s="2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15">
      <c r="A141" s="4"/>
      <c r="B141" s="4"/>
      <c r="C141" s="4"/>
      <c r="D141" s="4"/>
      <c r="E141" s="4"/>
      <c r="F141" s="4"/>
      <c r="G141" s="4"/>
      <c r="H141" s="2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15">
      <c r="A142" s="4"/>
      <c r="B142" s="4"/>
      <c r="C142" s="4"/>
      <c r="D142" s="4"/>
      <c r="E142" s="4"/>
      <c r="F142" s="4"/>
      <c r="G142" s="4"/>
      <c r="H142" s="2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15">
      <c r="A143" s="4"/>
      <c r="B143" s="4"/>
      <c r="C143" s="4"/>
      <c r="D143" s="4"/>
      <c r="E143" s="4"/>
      <c r="F143" s="4"/>
      <c r="G143" s="4"/>
      <c r="H143" s="2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15">
      <c r="A144" s="4"/>
      <c r="B144" s="4"/>
      <c r="C144" s="4"/>
      <c r="D144" s="4"/>
      <c r="E144" s="4"/>
      <c r="F144" s="4"/>
      <c r="G144" s="4"/>
      <c r="H144" s="2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15">
      <c r="A145" s="4"/>
      <c r="B145" s="4"/>
      <c r="C145" s="4"/>
      <c r="D145" s="4"/>
      <c r="E145" s="4"/>
      <c r="F145" s="4"/>
      <c r="G145" s="4"/>
      <c r="H145" s="2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15">
      <c r="A146" s="4"/>
      <c r="B146" s="4"/>
      <c r="C146" s="4"/>
      <c r="D146" s="4"/>
      <c r="E146" s="4"/>
      <c r="F146" s="4"/>
      <c r="G146" s="4"/>
      <c r="H146" s="2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15">
      <c r="A147" s="4"/>
      <c r="B147" s="4"/>
      <c r="C147" s="4"/>
      <c r="D147" s="4"/>
      <c r="E147" s="4"/>
      <c r="F147" s="4"/>
      <c r="G147" s="4"/>
      <c r="H147" s="2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15">
      <c r="A148" s="4"/>
      <c r="B148" s="4"/>
      <c r="C148" s="4"/>
      <c r="D148" s="4"/>
      <c r="E148" s="4"/>
      <c r="F148" s="4"/>
      <c r="G148" s="4"/>
      <c r="H148" s="2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15">
      <c r="A149" s="4"/>
      <c r="B149" s="4"/>
      <c r="C149" s="4"/>
      <c r="D149" s="4"/>
      <c r="E149" s="4"/>
      <c r="F149" s="4"/>
      <c r="G149" s="4"/>
      <c r="H149" s="2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15">
      <c r="A150" s="4"/>
      <c r="B150" s="4"/>
      <c r="C150" s="4"/>
      <c r="D150" s="4"/>
      <c r="E150" s="4"/>
      <c r="F150" s="4"/>
      <c r="G150" s="4"/>
      <c r="H150" s="2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15">
      <c r="A151" s="4"/>
      <c r="B151" s="4"/>
      <c r="C151" s="4"/>
      <c r="D151" s="4"/>
      <c r="E151" s="4"/>
      <c r="F151" s="4"/>
      <c r="G151" s="4"/>
      <c r="H151" s="2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15">
      <c r="A152" s="4"/>
      <c r="B152" s="4"/>
      <c r="C152" s="4"/>
      <c r="D152" s="4"/>
      <c r="E152" s="4"/>
      <c r="F152" s="4"/>
      <c r="G152" s="4"/>
      <c r="H152" s="2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15">
      <c r="A153" s="4"/>
      <c r="B153" s="4"/>
      <c r="C153" s="4"/>
      <c r="D153" s="4"/>
      <c r="E153" s="4"/>
      <c r="F153" s="4"/>
      <c r="G153" s="4"/>
      <c r="H153" s="2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15">
      <c r="A154" s="4"/>
      <c r="B154" s="4"/>
      <c r="C154" s="4"/>
      <c r="D154" s="4"/>
      <c r="E154" s="4"/>
      <c r="F154" s="4"/>
      <c r="G154" s="4"/>
      <c r="H154" s="2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15">
      <c r="A155" s="4"/>
      <c r="B155" s="4"/>
      <c r="C155" s="4"/>
      <c r="D155" s="4"/>
      <c r="E155" s="4"/>
      <c r="F155" s="4"/>
      <c r="G155" s="4"/>
      <c r="H155" s="2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15">
      <c r="A156" s="4"/>
      <c r="B156" s="4"/>
      <c r="C156" s="4"/>
      <c r="D156" s="4"/>
      <c r="E156" s="4"/>
      <c r="F156" s="4"/>
      <c r="G156" s="4"/>
      <c r="H156" s="2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15">
      <c r="A157" s="4"/>
      <c r="B157" s="4"/>
      <c r="C157" s="4"/>
      <c r="D157" s="4"/>
      <c r="E157" s="4"/>
      <c r="F157" s="4"/>
      <c r="G157" s="4"/>
      <c r="H157" s="2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15">
      <c r="A158" s="4"/>
      <c r="B158" s="4"/>
      <c r="C158" s="4"/>
      <c r="D158" s="4"/>
      <c r="E158" s="4"/>
      <c r="F158" s="4"/>
      <c r="G158" s="4"/>
      <c r="H158" s="2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15">
      <c r="A159" s="4"/>
      <c r="B159" s="4"/>
      <c r="C159" s="4"/>
      <c r="D159" s="4"/>
      <c r="E159" s="4"/>
      <c r="F159" s="4"/>
      <c r="G159" s="4"/>
      <c r="H159" s="2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15">
      <c r="A160" s="4"/>
      <c r="B160" s="4"/>
      <c r="C160" s="4"/>
      <c r="D160" s="4"/>
      <c r="E160" s="4"/>
      <c r="F160" s="4"/>
      <c r="G160" s="4"/>
      <c r="H160" s="2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15">
      <c r="A161" s="4"/>
      <c r="B161" s="4"/>
      <c r="C161" s="4"/>
      <c r="D161" s="4"/>
      <c r="E161" s="4"/>
      <c r="F161" s="4"/>
      <c r="G161" s="4"/>
      <c r="H161" s="2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15">
      <c r="A162" s="4"/>
      <c r="B162" s="4"/>
      <c r="C162" s="4"/>
      <c r="D162" s="4"/>
      <c r="E162" s="4"/>
      <c r="F162" s="4"/>
      <c r="G162" s="4"/>
      <c r="H162" s="2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15">
      <c r="A163" s="4"/>
      <c r="B163" s="4"/>
      <c r="C163" s="4"/>
      <c r="D163" s="4"/>
      <c r="E163" s="4"/>
      <c r="F163" s="4"/>
      <c r="G163" s="4"/>
      <c r="H163" s="2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15">
      <c r="A164" s="4"/>
      <c r="B164" s="4"/>
      <c r="C164" s="4"/>
      <c r="D164" s="4"/>
      <c r="E164" s="4"/>
      <c r="F164" s="4"/>
      <c r="G164" s="4"/>
      <c r="H164" s="2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15">
      <c r="A165" s="4"/>
      <c r="B165" s="4"/>
      <c r="C165" s="4"/>
      <c r="D165" s="4"/>
      <c r="E165" s="4"/>
      <c r="F165" s="4"/>
      <c r="G165" s="4"/>
      <c r="H165" s="2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15">
      <c r="A166" s="4"/>
      <c r="B166" s="4"/>
      <c r="C166" s="4"/>
      <c r="D166" s="4"/>
      <c r="E166" s="4"/>
      <c r="F166" s="4"/>
      <c r="G166" s="4"/>
      <c r="H166" s="2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15">
      <c r="A167" s="4"/>
      <c r="B167" s="4"/>
      <c r="C167" s="4"/>
      <c r="D167" s="4"/>
      <c r="E167" s="4"/>
      <c r="F167" s="4"/>
      <c r="G167" s="4"/>
      <c r="H167" s="2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15">
      <c r="A168" s="4"/>
      <c r="B168" s="4"/>
      <c r="C168" s="4"/>
      <c r="D168" s="4"/>
      <c r="E168" s="4"/>
      <c r="F168" s="4"/>
      <c r="G168" s="4"/>
      <c r="H168" s="2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15">
      <c r="A169" s="4"/>
      <c r="B169" s="4"/>
      <c r="C169" s="4"/>
      <c r="D169" s="4"/>
      <c r="E169" s="4"/>
      <c r="F169" s="4"/>
      <c r="G169" s="4"/>
      <c r="H169" s="2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15">
      <c r="A170" s="4"/>
      <c r="B170" s="4"/>
      <c r="C170" s="4"/>
      <c r="D170" s="4"/>
      <c r="E170" s="4"/>
      <c r="F170" s="4"/>
      <c r="G170" s="4"/>
      <c r="H170" s="2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15">
      <c r="A171" s="4"/>
      <c r="B171" s="4"/>
      <c r="C171" s="4"/>
      <c r="D171" s="4"/>
      <c r="E171" s="4"/>
      <c r="F171" s="4"/>
      <c r="G171" s="4"/>
      <c r="H171" s="2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15">
      <c r="A172" s="4"/>
      <c r="B172" s="4"/>
      <c r="C172" s="4"/>
      <c r="D172" s="4"/>
      <c r="E172" s="4"/>
      <c r="F172" s="4"/>
      <c r="G172" s="4"/>
      <c r="H172" s="2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15">
      <c r="A173" s="4"/>
      <c r="B173" s="4"/>
      <c r="C173" s="4"/>
      <c r="D173" s="4"/>
      <c r="E173" s="4"/>
      <c r="F173" s="4"/>
      <c r="G173" s="4"/>
      <c r="H173" s="2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15">
      <c r="A174" s="4"/>
      <c r="B174" s="4"/>
      <c r="C174" s="4"/>
      <c r="D174" s="4"/>
      <c r="E174" s="4"/>
      <c r="F174" s="4"/>
      <c r="G174" s="4"/>
      <c r="H174" s="2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15">
      <c r="A175" s="4"/>
      <c r="B175" s="4"/>
      <c r="C175" s="4"/>
      <c r="D175" s="4"/>
      <c r="E175" s="4"/>
      <c r="F175" s="4"/>
      <c r="G175" s="4"/>
      <c r="H175" s="2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15">
      <c r="A176" s="4"/>
      <c r="B176" s="4"/>
      <c r="C176" s="4"/>
      <c r="D176" s="4"/>
      <c r="E176" s="4"/>
      <c r="F176" s="4"/>
      <c r="G176" s="4"/>
      <c r="H176" s="2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15">
      <c r="A177" s="4"/>
      <c r="B177" s="4"/>
      <c r="C177" s="4"/>
      <c r="D177" s="4"/>
      <c r="E177" s="4"/>
      <c r="F177" s="4"/>
      <c r="G177" s="4"/>
      <c r="H177" s="2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15">
      <c r="A178" s="4"/>
      <c r="B178" s="4"/>
      <c r="C178" s="4"/>
      <c r="D178" s="4"/>
      <c r="E178" s="4"/>
      <c r="F178" s="4"/>
      <c r="G178" s="4"/>
      <c r="H178" s="2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15">
      <c r="A179" s="4"/>
      <c r="B179" s="4"/>
      <c r="C179" s="4"/>
      <c r="D179" s="4"/>
      <c r="E179" s="4"/>
      <c r="F179" s="4"/>
      <c r="G179" s="4"/>
      <c r="H179" s="2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15">
      <c r="A180" s="4"/>
      <c r="B180" s="4"/>
      <c r="C180" s="4"/>
      <c r="D180" s="4"/>
      <c r="E180" s="4"/>
      <c r="F180" s="4"/>
      <c r="G180" s="4"/>
      <c r="H180" s="2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15">
      <c r="A181" s="4"/>
      <c r="B181" s="4"/>
      <c r="C181" s="4"/>
      <c r="D181" s="4"/>
      <c r="E181" s="4"/>
      <c r="F181" s="4"/>
      <c r="G181" s="4"/>
      <c r="H181" s="2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15">
      <c r="A182" s="4"/>
      <c r="B182" s="4"/>
      <c r="C182" s="4"/>
      <c r="D182" s="4"/>
      <c r="E182" s="4"/>
      <c r="F182" s="4"/>
      <c r="G182" s="4"/>
      <c r="H182" s="2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15">
      <c r="A183" s="4"/>
      <c r="B183" s="4"/>
      <c r="C183" s="4"/>
      <c r="D183" s="4"/>
      <c r="E183" s="4"/>
      <c r="F183" s="4"/>
      <c r="G183" s="4"/>
      <c r="H183" s="2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15">
      <c r="A184" s="4"/>
      <c r="B184" s="4"/>
      <c r="C184" s="4"/>
      <c r="D184" s="4"/>
      <c r="E184" s="4"/>
      <c r="F184" s="4"/>
      <c r="G184" s="4"/>
      <c r="H184" s="2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15">
      <c r="A185" s="4"/>
      <c r="B185" s="4"/>
      <c r="C185" s="4"/>
      <c r="D185" s="4"/>
      <c r="E185" s="4"/>
      <c r="F185" s="4"/>
      <c r="G185" s="4"/>
      <c r="H185" s="2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15">
      <c r="A186" s="4"/>
      <c r="B186" s="4"/>
      <c r="C186" s="4"/>
      <c r="D186" s="4"/>
      <c r="E186" s="4"/>
      <c r="F186" s="4"/>
      <c r="G186" s="4"/>
      <c r="H186" s="2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15">
      <c r="A187" s="4"/>
      <c r="B187" s="4"/>
      <c r="C187" s="4"/>
      <c r="D187" s="4"/>
      <c r="E187" s="4"/>
      <c r="F187" s="4"/>
      <c r="G187" s="4"/>
      <c r="H187" s="2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15">
      <c r="A188" s="4"/>
      <c r="B188" s="4"/>
      <c r="C188" s="4"/>
      <c r="D188" s="4"/>
      <c r="E188" s="4"/>
      <c r="F188" s="4"/>
      <c r="G188" s="4"/>
      <c r="H188" s="2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15">
      <c r="A189" s="4"/>
      <c r="B189" s="4"/>
      <c r="C189" s="4"/>
      <c r="D189" s="4"/>
      <c r="E189" s="4"/>
      <c r="F189" s="4"/>
      <c r="G189" s="4"/>
      <c r="H189" s="2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15">
      <c r="A190" s="4"/>
      <c r="B190" s="4"/>
      <c r="C190" s="4"/>
      <c r="D190" s="4"/>
      <c r="E190" s="4"/>
      <c r="F190" s="4"/>
      <c r="G190" s="4"/>
      <c r="H190" s="2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15">
      <c r="A191" s="4"/>
      <c r="B191" s="4"/>
      <c r="C191" s="4"/>
      <c r="D191" s="4"/>
      <c r="E191" s="4"/>
      <c r="F191" s="4"/>
      <c r="G191" s="4"/>
      <c r="H191" s="2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15">
      <c r="A192" s="4"/>
      <c r="B192" s="4"/>
      <c r="C192" s="4"/>
      <c r="D192" s="4"/>
      <c r="E192" s="4"/>
      <c r="F192" s="4"/>
      <c r="G192" s="4"/>
      <c r="H192" s="2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15">
      <c r="A193" s="4"/>
      <c r="B193" s="4"/>
      <c r="C193" s="4"/>
      <c r="D193" s="4"/>
      <c r="E193" s="4"/>
      <c r="F193" s="4"/>
      <c r="G193" s="4"/>
      <c r="H193" s="2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15">
      <c r="A194" s="4"/>
      <c r="B194" s="4"/>
      <c r="C194" s="4"/>
      <c r="D194" s="4"/>
      <c r="E194" s="4"/>
      <c r="F194" s="4"/>
      <c r="G194" s="4"/>
      <c r="H194" s="2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15">
      <c r="A195" s="4"/>
      <c r="B195" s="4"/>
      <c r="C195" s="4"/>
      <c r="D195" s="4"/>
      <c r="E195" s="4"/>
      <c r="F195" s="4"/>
      <c r="G195" s="4"/>
      <c r="H195" s="2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15">
      <c r="A196" s="4"/>
      <c r="B196" s="4"/>
      <c r="C196" s="4"/>
      <c r="D196" s="4"/>
      <c r="E196" s="4"/>
      <c r="F196" s="4"/>
      <c r="G196" s="4"/>
      <c r="H196" s="2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15">
      <c r="A197" s="4"/>
      <c r="B197" s="4"/>
      <c r="C197" s="4"/>
      <c r="D197" s="4"/>
      <c r="E197" s="4"/>
      <c r="F197" s="4"/>
      <c r="G197" s="4"/>
      <c r="H197" s="2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15">
      <c r="A198" s="4"/>
      <c r="B198" s="4"/>
      <c r="C198" s="4"/>
      <c r="D198" s="4"/>
      <c r="E198" s="4"/>
      <c r="F198" s="4"/>
      <c r="G198" s="4"/>
      <c r="H198" s="2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15">
      <c r="A199" s="4"/>
      <c r="B199" s="4"/>
      <c r="C199" s="4"/>
      <c r="D199" s="4"/>
      <c r="E199" s="4"/>
      <c r="F199" s="4"/>
      <c r="G199" s="4"/>
      <c r="H199" s="2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15">
      <c r="A200" s="4"/>
      <c r="B200" s="4"/>
      <c r="C200" s="4"/>
      <c r="D200" s="4"/>
      <c r="E200" s="4"/>
      <c r="F200" s="4"/>
      <c r="G200" s="4"/>
      <c r="H200" s="2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15">
      <c r="A201" s="4"/>
      <c r="B201" s="4"/>
      <c r="C201" s="4"/>
      <c r="D201" s="4"/>
      <c r="E201" s="4"/>
      <c r="F201" s="4"/>
      <c r="G201" s="4"/>
      <c r="H201" s="2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15">
      <c r="A202" s="4"/>
      <c r="B202" s="4"/>
      <c r="C202" s="4"/>
      <c r="D202" s="4"/>
      <c r="E202" s="4"/>
      <c r="F202" s="4"/>
      <c r="G202" s="4"/>
      <c r="H202" s="2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15">
      <c r="A203" s="4"/>
      <c r="B203" s="4"/>
      <c r="C203" s="4"/>
      <c r="D203" s="4"/>
      <c r="E203" s="4"/>
      <c r="F203" s="4"/>
      <c r="G203" s="4"/>
      <c r="H203" s="2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15">
      <c r="A204" s="4"/>
      <c r="B204" s="4"/>
      <c r="C204" s="4"/>
      <c r="D204" s="4"/>
      <c r="E204" s="4"/>
      <c r="F204" s="4"/>
      <c r="G204" s="4"/>
      <c r="H204" s="2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15">
      <c r="A205" s="4"/>
      <c r="B205" s="4"/>
      <c r="C205" s="4"/>
      <c r="D205" s="4"/>
      <c r="E205" s="4"/>
      <c r="F205" s="4"/>
      <c r="G205" s="4"/>
      <c r="H205" s="2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15">
      <c r="A206" s="4"/>
      <c r="B206" s="4"/>
      <c r="C206" s="4"/>
      <c r="D206" s="4"/>
      <c r="E206" s="4"/>
      <c r="F206" s="4"/>
      <c r="G206" s="4"/>
      <c r="H206" s="2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15">
      <c r="A207" s="4"/>
      <c r="B207" s="4"/>
      <c r="C207" s="4"/>
      <c r="D207" s="4"/>
      <c r="E207" s="4"/>
      <c r="F207" s="4"/>
      <c r="G207" s="4"/>
      <c r="H207" s="2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15">
      <c r="A208" s="4"/>
      <c r="B208" s="4"/>
      <c r="C208" s="4"/>
      <c r="D208" s="4"/>
      <c r="E208" s="4"/>
      <c r="F208" s="4"/>
      <c r="G208" s="4"/>
      <c r="H208" s="2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15">
      <c r="A209" s="4"/>
      <c r="B209" s="4"/>
      <c r="C209" s="4"/>
      <c r="D209" s="4"/>
      <c r="E209" s="4"/>
      <c r="F209" s="4"/>
      <c r="G209" s="4"/>
      <c r="H209" s="2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15">
      <c r="A210" s="4"/>
      <c r="B210" s="4"/>
      <c r="C210" s="4"/>
      <c r="D210" s="4"/>
      <c r="E210" s="4"/>
      <c r="F210" s="4"/>
      <c r="G210" s="4"/>
      <c r="H210" s="2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15">
      <c r="A211" s="4"/>
      <c r="B211" s="4"/>
      <c r="C211" s="4"/>
      <c r="D211" s="4"/>
      <c r="E211" s="4"/>
      <c r="F211" s="4"/>
      <c r="G211" s="4"/>
      <c r="H211" s="2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15">
      <c r="A212" s="4"/>
      <c r="B212" s="4"/>
      <c r="C212" s="4"/>
      <c r="D212" s="4"/>
      <c r="E212" s="4"/>
      <c r="F212" s="4"/>
      <c r="G212" s="4"/>
      <c r="H212" s="2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15">
      <c r="A213" s="4"/>
      <c r="B213" s="4"/>
      <c r="C213" s="4"/>
      <c r="D213" s="4"/>
      <c r="E213" s="4"/>
      <c r="F213" s="4"/>
      <c r="G213" s="4"/>
      <c r="H213" s="2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15">
      <c r="A214" s="4"/>
      <c r="B214" s="4"/>
      <c r="C214" s="4"/>
      <c r="D214" s="4"/>
      <c r="E214" s="4"/>
      <c r="F214" s="4"/>
      <c r="G214" s="4"/>
      <c r="H214" s="2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15">
      <c r="A215" s="4"/>
      <c r="B215" s="4"/>
      <c r="C215" s="4"/>
      <c r="D215" s="4"/>
      <c r="E215" s="4"/>
      <c r="F215" s="4"/>
      <c r="G215" s="4"/>
      <c r="H215" s="2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15">
      <c r="A216" s="4"/>
      <c r="B216" s="4"/>
      <c r="C216" s="4"/>
      <c r="D216" s="4"/>
      <c r="E216" s="4"/>
      <c r="F216" s="4"/>
      <c r="G216" s="4"/>
      <c r="H216" s="2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15">
      <c r="A217" s="4"/>
      <c r="B217" s="4"/>
      <c r="C217" s="4"/>
      <c r="D217" s="4"/>
      <c r="E217" s="4"/>
      <c r="F217" s="4"/>
      <c r="G217" s="4"/>
      <c r="H217" s="2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15">
      <c r="A218" s="4"/>
      <c r="B218" s="4"/>
      <c r="C218" s="4"/>
      <c r="D218" s="4"/>
      <c r="E218" s="4"/>
      <c r="F218" s="4"/>
      <c r="G218" s="4"/>
      <c r="H218" s="2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15">
      <c r="A219" s="4"/>
      <c r="B219" s="4"/>
      <c r="C219" s="4"/>
      <c r="D219" s="4"/>
      <c r="E219" s="4"/>
      <c r="F219" s="4"/>
      <c r="G219" s="4"/>
      <c r="H219" s="2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15">
      <c r="A220" s="4"/>
      <c r="B220" s="4"/>
      <c r="C220" s="4"/>
      <c r="D220" s="4"/>
      <c r="E220" s="4"/>
      <c r="F220" s="4"/>
      <c r="G220" s="4"/>
      <c r="H220" s="2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15">
      <c r="A221" s="4"/>
      <c r="B221" s="4"/>
      <c r="C221" s="4"/>
      <c r="D221" s="4"/>
      <c r="E221" s="4"/>
      <c r="F221" s="4"/>
      <c r="G221" s="4"/>
      <c r="H221" s="2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15">
      <c r="A222" s="4"/>
      <c r="B222" s="4"/>
      <c r="C222" s="4"/>
      <c r="D222" s="4"/>
      <c r="E222" s="4"/>
      <c r="F222" s="4"/>
      <c r="G222" s="4"/>
      <c r="H222" s="2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15">
      <c r="A223" s="4"/>
      <c r="B223" s="4"/>
      <c r="C223" s="4"/>
      <c r="D223" s="4"/>
      <c r="E223" s="4"/>
      <c r="F223" s="4"/>
      <c r="G223" s="4"/>
      <c r="H223" s="2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15">
      <c r="A224" s="4"/>
      <c r="B224" s="4"/>
      <c r="C224" s="4"/>
      <c r="D224" s="4"/>
      <c r="E224" s="4"/>
      <c r="F224" s="4"/>
      <c r="G224" s="4"/>
      <c r="H224" s="2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15">
      <c r="A225" s="4"/>
      <c r="B225" s="4"/>
      <c r="C225" s="4"/>
      <c r="D225" s="4"/>
      <c r="E225" s="4"/>
      <c r="F225" s="4"/>
      <c r="G225" s="4"/>
      <c r="H225" s="2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15">
      <c r="A226" s="4"/>
      <c r="B226" s="4"/>
      <c r="C226" s="4"/>
      <c r="D226" s="4"/>
      <c r="E226" s="4"/>
      <c r="F226" s="4"/>
      <c r="G226" s="4"/>
      <c r="H226" s="2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15">
      <c r="A227" s="4"/>
      <c r="B227" s="4"/>
      <c r="C227" s="4"/>
      <c r="D227" s="4"/>
      <c r="E227" s="4"/>
      <c r="F227" s="4"/>
      <c r="G227" s="4"/>
      <c r="H227" s="2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15">
      <c r="A228" s="4"/>
      <c r="B228" s="4"/>
      <c r="C228" s="4"/>
      <c r="D228" s="4"/>
      <c r="E228" s="4"/>
      <c r="F228" s="4"/>
      <c r="G228" s="4"/>
      <c r="H228" s="2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15">
      <c r="A229" s="4"/>
      <c r="B229" s="4"/>
      <c r="C229" s="4"/>
      <c r="D229" s="4"/>
      <c r="E229" s="4"/>
      <c r="F229" s="4"/>
      <c r="G229" s="4"/>
      <c r="H229" s="2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15">
      <c r="A230" s="4"/>
      <c r="B230" s="4"/>
      <c r="C230" s="4"/>
      <c r="D230" s="4"/>
      <c r="E230" s="4"/>
      <c r="F230" s="4"/>
      <c r="G230" s="4"/>
      <c r="H230" s="2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15">
      <c r="A231" s="4"/>
      <c r="B231" s="4"/>
      <c r="C231" s="4"/>
      <c r="D231" s="4"/>
      <c r="E231" s="4"/>
      <c r="F231" s="4"/>
      <c r="G231" s="4"/>
      <c r="H231" s="2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15">
      <c r="A232" s="4"/>
      <c r="B232" s="4"/>
      <c r="C232" s="4"/>
      <c r="D232" s="4"/>
      <c r="E232" s="4"/>
      <c r="F232" s="4"/>
      <c r="G232" s="4"/>
      <c r="H232" s="2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15">
      <c r="A233" s="4"/>
      <c r="B233" s="4"/>
      <c r="C233" s="4"/>
      <c r="D233" s="4"/>
      <c r="E233" s="4"/>
      <c r="F233" s="4"/>
      <c r="G233" s="4"/>
      <c r="H233" s="2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15">
      <c r="A234" s="4"/>
      <c r="B234" s="4"/>
      <c r="C234" s="4"/>
      <c r="D234" s="4"/>
      <c r="E234" s="4"/>
      <c r="F234" s="4"/>
      <c r="G234" s="4"/>
      <c r="H234" s="2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15">
      <c r="A235" s="4"/>
      <c r="B235" s="4"/>
      <c r="C235" s="4"/>
      <c r="D235" s="4"/>
      <c r="E235" s="4"/>
      <c r="F235" s="4"/>
      <c r="G235" s="4"/>
      <c r="H235" s="2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15">
      <c r="A236" s="4"/>
      <c r="B236" s="4"/>
      <c r="C236" s="4"/>
      <c r="D236" s="4"/>
      <c r="E236" s="4"/>
      <c r="F236" s="4"/>
      <c r="G236" s="4"/>
      <c r="H236" s="2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15">
      <c r="A237" s="4"/>
      <c r="B237" s="4"/>
      <c r="C237" s="4"/>
      <c r="D237" s="4"/>
      <c r="E237" s="4"/>
      <c r="F237" s="4"/>
      <c r="G237" s="4"/>
      <c r="H237" s="2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15">
      <c r="A238" s="4"/>
      <c r="B238" s="4"/>
      <c r="C238" s="4"/>
      <c r="D238" s="4"/>
      <c r="E238" s="4"/>
      <c r="F238" s="4"/>
      <c r="G238" s="4"/>
      <c r="H238" s="2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15">
      <c r="A239" s="4"/>
      <c r="B239" s="4"/>
      <c r="C239" s="4"/>
      <c r="D239" s="4"/>
      <c r="E239" s="4"/>
      <c r="F239" s="4"/>
      <c r="G239" s="4"/>
      <c r="H239" s="2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15">
      <c r="A240" s="4"/>
      <c r="B240" s="4"/>
      <c r="C240" s="4"/>
      <c r="D240" s="4"/>
      <c r="E240" s="4"/>
      <c r="F240" s="4"/>
      <c r="G240" s="4"/>
      <c r="H240" s="2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15">
      <c r="A241" s="4"/>
      <c r="B241" s="4"/>
      <c r="C241" s="4"/>
      <c r="D241" s="4"/>
      <c r="E241" s="4"/>
      <c r="F241" s="4"/>
      <c r="G241" s="4"/>
      <c r="H241" s="2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15">
      <c r="A242" s="4"/>
      <c r="B242" s="4"/>
      <c r="C242" s="4"/>
      <c r="D242" s="4"/>
      <c r="E242" s="4"/>
      <c r="F242" s="4"/>
      <c r="G242" s="4"/>
      <c r="H242" s="2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15">
      <c r="A243" s="4"/>
      <c r="B243" s="4"/>
      <c r="C243" s="4"/>
      <c r="D243" s="4"/>
      <c r="E243" s="4"/>
      <c r="F243" s="4"/>
      <c r="G243" s="4"/>
      <c r="H243" s="2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15">
      <c r="A244" s="4"/>
      <c r="B244" s="4"/>
      <c r="C244" s="4"/>
      <c r="D244" s="4"/>
      <c r="E244" s="4"/>
      <c r="F244" s="4"/>
      <c r="G244" s="4"/>
      <c r="H244" s="2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15">
      <c r="A245" s="4"/>
      <c r="B245" s="4"/>
      <c r="C245" s="4"/>
      <c r="D245" s="4"/>
      <c r="E245" s="4"/>
      <c r="F245" s="4"/>
      <c r="G245" s="4"/>
      <c r="H245" s="2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15">
      <c r="A246" s="4"/>
      <c r="B246" s="4"/>
      <c r="C246" s="4"/>
      <c r="D246" s="4"/>
      <c r="E246" s="4"/>
      <c r="F246" s="4"/>
      <c r="G246" s="4"/>
      <c r="H246" s="2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15">
      <c r="A247" s="4"/>
      <c r="B247" s="4"/>
      <c r="C247" s="4"/>
      <c r="D247" s="4"/>
      <c r="E247" s="4"/>
      <c r="F247" s="4"/>
      <c r="G247" s="4"/>
      <c r="H247" s="2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15">
      <c r="A248" s="4"/>
      <c r="B248" s="4"/>
      <c r="C248" s="4"/>
      <c r="D248" s="4"/>
      <c r="E248" s="4"/>
      <c r="F248" s="4"/>
      <c r="G248" s="4"/>
      <c r="H248" s="2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15">
      <c r="A249" s="4"/>
      <c r="B249" s="4"/>
      <c r="C249" s="4"/>
      <c r="D249" s="4"/>
      <c r="E249" s="4"/>
      <c r="F249" s="4"/>
      <c r="G249" s="4"/>
      <c r="H249" s="2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15">
      <c r="A250" s="4"/>
      <c r="B250" s="4"/>
      <c r="C250" s="4"/>
      <c r="D250" s="4"/>
      <c r="E250" s="4"/>
      <c r="F250" s="4"/>
      <c r="G250" s="4"/>
      <c r="H250" s="2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15">
      <c r="A251" s="4"/>
      <c r="B251" s="4"/>
      <c r="C251" s="4"/>
      <c r="D251" s="4"/>
      <c r="E251" s="4"/>
      <c r="F251" s="4"/>
      <c r="G251" s="4"/>
      <c r="H251" s="2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15">
      <c r="A252" s="4"/>
      <c r="B252" s="4"/>
      <c r="C252" s="4"/>
      <c r="D252" s="4"/>
      <c r="E252" s="4"/>
      <c r="F252" s="4"/>
      <c r="G252" s="4"/>
      <c r="H252" s="2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15">
      <c r="A253" s="4"/>
      <c r="B253" s="4"/>
      <c r="C253" s="4"/>
      <c r="D253" s="4"/>
      <c r="E253" s="4"/>
      <c r="F253" s="4"/>
      <c r="G253" s="4"/>
      <c r="H253" s="2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15"/>
    <row r="255" spans="1:24" ht="15.75" customHeight="1" x14ac:dyDescent="0.15"/>
    <row r="256" spans="1:24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V20:V23"/>
    <mergeCell ref="A7:A14"/>
    <mergeCell ref="W20:W23"/>
    <mergeCell ref="A1:H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00"/>
  <sheetViews>
    <sheetView workbookViewId="0">
      <selection activeCell="H27" sqref="H27"/>
    </sheetView>
  </sheetViews>
  <sheetFormatPr baseColWidth="10" defaultColWidth="12.6640625" defaultRowHeight="15" customHeight="1" x14ac:dyDescent="0.15"/>
  <cols>
    <col min="1" max="2" width="30.83203125" customWidth="1"/>
    <col min="9" max="11" width="15.33203125" customWidth="1"/>
  </cols>
  <sheetData>
    <row r="1" spans="1:23" ht="15.75" customHeight="1" x14ac:dyDescent="0.15">
      <c r="A1" s="90" t="s">
        <v>939</v>
      </c>
      <c r="B1" s="83"/>
      <c r="C1" s="83"/>
      <c r="D1" s="83"/>
      <c r="E1" s="83"/>
      <c r="F1" s="83"/>
      <c r="G1" s="83"/>
      <c r="H1" s="4"/>
      <c r="I1" s="4"/>
      <c r="J1" s="4"/>
      <c r="K1" s="4"/>
      <c r="L1" s="4"/>
      <c r="M1" s="4"/>
      <c r="N1" s="16"/>
      <c r="O1" s="16"/>
      <c r="P1" s="16"/>
      <c r="Q1" s="16"/>
      <c r="R1" s="16"/>
      <c r="S1" s="16"/>
      <c r="T1" s="36"/>
      <c r="U1" s="16"/>
      <c r="V1" s="16"/>
      <c r="W1" s="4"/>
    </row>
    <row r="2" spans="1:23" ht="15.75" customHeight="1" x14ac:dyDescent="0.15">
      <c r="A2" s="15" t="s">
        <v>890</v>
      </c>
      <c r="B2" s="15" t="s">
        <v>891</v>
      </c>
      <c r="C2" s="15" t="s">
        <v>1</v>
      </c>
      <c r="D2" s="15" t="s">
        <v>893</v>
      </c>
      <c r="E2" s="15" t="s">
        <v>6</v>
      </c>
      <c r="F2" s="16" t="s">
        <v>2</v>
      </c>
      <c r="G2" s="16" t="s">
        <v>3</v>
      </c>
      <c r="H2" s="4"/>
      <c r="I2" s="20"/>
      <c r="J2" s="21" t="s">
        <v>230</v>
      </c>
      <c r="K2" s="21" t="s">
        <v>2</v>
      </c>
      <c r="L2" s="4"/>
      <c r="M2" s="4"/>
      <c r="N2" s="4"/>
      <c r="O2" s="4"/>
      <c r="P2" s="4"/>
      <c r="Q2" s="4"/>
      <c r="R2" s="4"/>
      <c r="S2" s="4"/>
      <c r="T2" s="23"/>
      <c r="U2" s="4"/>
      <c r="V2" s="4"/>
      <c r="W2" s="16"/>
    </row>
    <row r="3" spans="1:23" ht="15.75" customHeight="1" x14ac:dyDescent="0.15">
      <c r="A3" s="4" t="s">
        <v>918</v>
      </c>
      <c r="B3" s="4" t="s">
        <v>940</v>
      </c>
      <c r="C3" s="4" t="s">
        <v>920</v>
      </c>
      <c r="D3" s="4" t="s">
        <v>921</v>
      </c>
      <c r="E3" s="4" t="s">
        <v>14</v>
      </c>
      <c r="F3" s="4" t="s">
        <v>51</v>
      </c>
      <c r="G3" s="23">
        <v>7.1</v>
      </c>
      <c r="H3" s="16"/>
      <c r="I3" s="24" t="s">
        <v>232</v>
      </c>
      <c r="J3" s="25">
        <f>AVERAGE(G3:G21)</f>
        <v>9.9760303300624429</v>
      </c>
      <c r="K3" s="26" t="s">
        <v>246</v>
      </c>
      <c r="L3" s="4"/>
      <c r="M3" s="4"/>
      <c r="N3" s="4"/>
      <c r="O3" s="4"/>
      <c r="P3" s="4"/>
      <c r="Q3" s="4"/>
      <c r="R3" s="4"/>
      <c r="S3" s="4"/>
      <c r="T3" s="23"/>
      <c r="U3" s="4"/>
      <c r="V3" s="4"/>
      <c r="W3" s="16"/>
    </row>
    <row r="4" spans="1:23" ht="15.75" customHeight="1" x14ac:dyDescent="0.15">
      <c r="A4" s="4" t="s">
        <v>918</v>
      </c>
      <c r="B4" s="4" t="s">
        <v>940</v>
      </c>
      <c r="C4" s="4" t="s">
        <v>920</v>
      </c>
      <c r="D4" s="4" t="s">
        <v>922</v>
      </c>
      <c r="E4" s="4" t="s">
        <v>14</v>
      </c>
      <c r="F4" s="4" t="s">
        <v>51</v>
      </c>
      <c r="G4" s="23">
        <v>7.1</v>
      </c>
      <c r="H4" s="16"/>
      <c r="I4" s="24" t="s">
        <v>235</v>
      </c>
      <c r="J4" s="25">
        <f>STDEV(G3:G21)</f>
        <v>4.7025660313544355</v>
      </c>
      <c r="K4" s="26" t="s">
        <v>246</v>
      </c>
      <c r="L4" s="4"/>
      <c r="M4" s="4"/>
      <c r="N4" s="4"/>
      <c r="O4" s="4"/>
      <c r="P4" s="4"/>
      <c r="Q4" s="4"/>
      <c r="R4" s="4"/>
      <c r="S4" s="4"/>
      <c r="T4" s="23"/>
      <c r="U4" s="4"/>
      <c r="V4" s="4"/>
      <c r="W4" s="4"/>
    </row>
    <row r="5" spans="1:23" ht="15.75" customHeight="1" x14ac:dyDescent="0.15">
      <c r="A5" s="4" t="s">
        <v>918</v>
      </c>
      <c r="B5" s="4" t="s">
        <v>940</v>
      </c>
      <c r="C5" s="4" t="s">
        <v>920</v>
      </c>
      <c r="D5" s="4" t="s">
        <v>923</v>
      </c>
      <c r="E5" s="4" t="s">
        <v>14</v>
      </c>
      <c r="F5" s="4" t="s">
        <v>51</v>
      </c>
      <c r="G5" s="23">
        <v>11.7</v>
      </c>
      <c r="H5" s="4"/>
      <c r="I5" s="4"/>
      <c r="J5" s="4"/>
      <c r="K5" s="4"/>
      <c r="L5" s="4"/>
      <c r="M5" s="4"/>
      <c r="N5" s="16"/>
      <c r="O5" s="16"/>
      <c r="P5" s="16"/>
      <c r="Q5" s="16"/>
      <c r="R5" s="16"/>
      <c r="S5" s="16"/>
      <c r="T5" s="36"/>
      <c r="U5" s="16"/>
      <c r="V5" s="16"/>
      <c r="W5" s="16"/>
    </row>
    <row r="6" spans="1:23" ht="15.75" customHeight="1" x14ac:dyDescent="0.15">
      <c r="A6" s="4" t="s">
        <v>918</v>
      </c>
      <c r="B6" s="4" t="s">
        <v>940</v>
      </c>
      <c r="C6" s="4" t="s">
        <v>920</v>
      </c>
      <c r="D6" s="4" t="s">
        <v>924</v>
      </c>
      <c r="E6" s="4" t="s">
        <v>14</v>
      </c>
      <c r="F6" s="4" t="s">
        <v>51</v>
      </c>
      <c r="G6" s="23">
        <v>11.7</v>
      </c>
      <c r="I6" s="4"/>
      <c r="L6" s="4"/>
      <c r="M6" s="4"/>
      <c r="O6" s="4"/>
      <c r="P6" s="4"/>
      <c r="R6" s="4"/>
      <c r="S6" s="4"/>
      <c r="T6" s="23"/>
      <c r="U6" s="4"/>
      <c r="V6" s="4"/>
      <c r="W6" s="4"/>
    </row>
    <row r="7" spans="1:23" ht="15.75" customHeight="1" x14ac:dyDescent="0.15">
      <c r="A7" s="4" t="s">
        <v>918</v>
      </c>
      <c r="B7" s="4" t="s">
        <v>940</v>
      </c>
      <c r="C7" s="4" t="s">
        <v>920</v>
      </c>
      <c r="D7" s="4" t="s">
        <v>925</v>
      </c>
      <c r="E7" s="4" t="s">
        <v>14</v>
      </c>
      <c r="F7" s="4" t="s">
        <v>51</v>
      </c>
      <c r="G7" s="23">
        <v>6.3</v>
      </c>
      <c r="H7" s="4"/>
      <c r="I7" s="4"/>
      <c r="L7" s="4"/>
      <c r="M7" s="4"/>
      <c r="O7" s="4"/>
      <c r="P7" s="4"/>
      <c r="R7" s="4"/>
      <c r="S7" s="4"/>
      <c r="T7" s="23"/>
      <c r="U7" s="4"/>
      <c r="V7" s="4"/>
      <c r="W7" s="4"/>
    </row>
    <row r="8" spans="1:23" ht="15.75" customHeight="1" x14ac:dyDescent="0.15">
      <c r="A8" s="4" t="s">
        <v>918</v>
      </c>
      <c r="B8" s="4" t="s">
        <v>940</v>
      </c>
      <c r="C8" s="4" t="s">
        <v>920</v>
      </c>
      <c r="D8" s="4" t="s">
        <v>926</v>
      </c>
      <c r="E8" s="4" t="s">
        <v>14</v>
      </c>
      <c r="F8" s="4" t="s">
        <v>51</v>
      </c>
      <c r="G8" s="23">
        <v>6.3</v>
      </c>
      <c r="H8" s="4"/>
      <c r="I8" s="4"/>
      <c r="L8" s="4"/>
      <c r="M8" s="4"/>
      <c r="O8" s="4"/>
      <c r="P8" s="4"/>
      <c r="R8" s="4"/>
      <c r="S8" s="4"/>
      <c r="T8" s="23"/>
      <c r="U8" s="4"/>
      <c r="V8" s="4"/>
      <c r="W8" s="4"/>
    </row>
    <row r="9" spans="1:23" ht="15.75" customHeight="1" x14ac:dyDescent="0.15">
      <c r="A9" s="4" t="s">
        <v>918</v>
      </c>
      <c r="B9" s="4" t="s">
        <v>940</v>
      </c>
      <c r="C9" s="4" t="s">
        <v>920</v>
      </c>
      <c r="D9" s="4" t="s">
        <v>927</v>
      </c>
      <c r="E9" s="4" t="s">
        <v>14</v>
      </c>
      <c r="F9" s="4" t="s">
        <v>51</v>
      </c>
      <c r="G9" s="23">
        <v>4.5999999999999996</v>
      </c>
      <c r="H9" s="4"/>
      <c r="I9" s="4"/>
      <c r="L9" s="4"/>
      <c r="M9" s="4"/>
      <c r="O9" s="4"/>
      <c r="P9" s="4"/>
      <c r="R9" s="4"/>
      <c r="S9" s="4"/>
      <c r="T9" s="23"/>
      <c r="U9" s="4"/>
      <c r="V9" s="4"/>
      <c r="W9" s="4"/>
    </row>
    <row r="10" spans="1:23" ht="15.75" customHeight="1" x14ac:dyDescent="0.15">
      <c r="A10" s="4" t="s">
        <v>918</v>
      </c>
      <c r="B10" s="4" t="s">
        <v>940</v>
      </c>
      <c r="C10" s="4" t="s">
        <v>920</v>
      </c>
      <c r="D10" s="4" t="s">
        <v>928</v>
      </c>
      <c r="E10" s="4" t="s">
        <v>14</v>
      </c>
      <c r="F10" s="4" t="s">
        <v>51</v>
      </c>
      <c r="G10" s="23">
        <v>4.5999999999999996</v>
      </c>
      <c r="H10" s="4"/>
      <c r="I10" s="4"/>
      <c r="L10" s="4"/>
      <c r="M10" s="4"/>
      <c r="O10" s="4"/>
      <c r="P10" s="4"/>
      <c r="R10" s="4"/>
      <c r="S10" s="4"/>
      <c r="T10" s="23"/>
      <c r="U10" s="4"/>
      <c r="V10" s="4"/>
    </row>
    <row r="11" spans="1:23" ht="15.75" customHeight="1" x14ac:dyDescent="0.15">
      <c r="A11" s="4" t="s">
        <v>918</v>
      </c>
      <c r="B11" s="4" t="s">
        <v>940</v>
      </c>
      <c r="C11" s="4" t="s">
        <v>920</v>
      </c>
      <c r="D11" s="4" t="s">
        <v>929</v>
      </c>
      <c r="E11" s="4" t="s">
        <v>14</v>
      </c>
      <c r="F11" s="4" t="s">
        <v>51</v>
      </c>
      <c r="G11" s="23">
        <v>8.6</v>
      </c>
      <c r="H11" s="4"/>
      <c r="I11" s="4"/>
      <c r="L11" s="4"/>
      <c r="M11" s="4"/>
      <c r="O11" s="4"/>
      <c r="P11" s="4"/>
      <c r="R11" s="4"/>
      <c r="S11" s="4"/>
      <c r="T11" s="23"/>
      <c r="U11" s="4"/>
      <c r="V11" s="4"/>
      <c r="W11" s="4"/>
    </row>
    <row r="12" spans="1:23" ht="15.75" customHeight="1" x14ac:dyDescent="0.15">
      <c r="A12" s="4" t="s">
        <v>918</v>
      </c>
      <c r="B12" s="4" t="s">
        <v>940</v>
      </c>
      <c r="C12" s="4" t="s">
        <v>920</v>
      </c>
      <c r="D12" s="4" t="s">
        <v>930</v>
      </c>
      <c r="E12" s="4" t="s">
        <v>14</v>
      </c>
      <c r="F12" s="4" t="s">
        <v>51</v>
      </c>
      <c r="G12" s="23">
        <v>8.6</v>
      </c>
      <c r="H12" s="4"/>
      <c r="I12" s="4"/>
      <c r="L12" s="4"/>
      <c r="M12" s="4"/>
      <c r="O12" s="4"/>
      <c r="P12" s="4"/>
      <c r="R12" s="4"/>
      <c r="S12" s="4"/>
      <c r="T12" s="23"/>
      <c r="U12" s="4"/>
      <c r="V12" s="4"/>
      <c r="W12" s="4"/>
    </row>
    <row r="13" spans="1:23" ht="15.75" customHeight="1" x14ac:dyDescent="0.15">
      <c r="A13" s="4" t="s">
        <v>918</v>
      </c>
      <c r="B13" s="4" t="s">
        <v>940</v>
      </c>
      <c r="C13" s="4" t="s">
        <v>920</v>
      </c>
      <c r="D13" s="4" t="s">
        <v>931</v>
      </c>
      <c r="E13" s="4" t="s">
        <v>14</v>
      </c>
      <c r="F13" s="4" t="s">
        <v>51</v>
      </c>
      <c r="G13" s="23">
        <v>8.8000000000000007</v>
      </c>
      <c r="H13" s="4"/>
      <c r="I13" s="4"/>
      <c r="L13" s="4"/>
      <c r="M13" s="4"/>
      <c r="O13" s="4"/>
      <c r="P13" s="4"/>
      <c r="R13" s="4"/>
      <c r="S13" s="4"/>
      <c r="T13" s="23"/>
      <c r="U13" s="4"/>
      <c r="V13" s="4"/>
      <c r="W13" s="4"/>
    </row>
    <row r="14" spans="1:23" ht="15.75" customHeight="1" x14ac:dyDescent="0.15">
      <c r="A14" s="4" t="s">
        <v>918</v>
      </c>
      <c r="B14" s="4" t="s">
        <v>940</v>
      </c>
      <c r="C14" s="4" t="s">
        <v>920</v>
      </c>
      <c r="D14" s="4" t="s">
        <v>932</v>
      </c>
      <c r="E14" s="4" t="s">
        <v>14</v>
      </c>
      <c r="F14" s="4" t="s">
        <v>51</v>
      </c>
      <c r="G14" s="23">
        <v>9</v>
      </c>
      <c r="H14" s="4"/>
      <c r="I14" s="4"/>
      <c r="L14" s="4"/>
      <c r="M14" s="4"/>
      <c r="O14" s="4"/>
      <c r="P14" s="4"/>
      <c r="R14" s="4"/>
      <c r="S14" s="4"/>
      <c r="T14" s="23"/>
      <c r="U14" s="4"/>
      <c r="V14" s="4"/>
      <c r="W14" s="4"/>
    </row>
    <row r="15" spans="1:23" ht="15.75" customHeight="1" x14ac:dyDescent="0.15">
      <c r="A15" s="4" t="s">
        <v>918</v>
      </c>
      <c r="B15" s="4" t="s">
        <v>940</v>
      </c>
      <c r="C15" s="4" t="s">
        <v>920</v>
      </c>
      <c r="D15" s="4" t="s">
        <v>933</v>
      </c>
      <c r="E15" s="4" t="s">
        <v>14</v>
      </c>
      <c r="F15" s="4" t="s">
        <v>51</v>
      </c>
      <c r="G15" s="4">
        <v>15.9</v>
      </c>
      <c r="H15" s="4"/>
      <c r="I15" s="4"/>
      <c r="L15" s="4"/>
      <c r="M15" s="4"/>
      <c r="O15" s="4"/>
      <c r="P15" s="4"/>
      <c r="R15" s="4"/>
      <c r="S15" s="4"/>
      <c r="T15" s="23"/>
      <c r="U15" s="4"/>
      <c r="V15" s="4"/>
      <c r="W15" s="4"/>
    </row>
    <row r="16" spans="1:23" ht="15.75" customHeight="1" x14ac:dyDescent="0.15">
      <c r="A16" s="4" t="s">
        <v>918</v>
      </c>
      <c r="B16" s="4" t="s">
        <v>940</v>
      </c>
      <c r="C16" s="4" t="s">
        <v>920</v>
      </c>
      <c r="D16" s="4" t="s">
        <v>934</v>
      </c>
      <c r="E16" s="4" t="s">
        <v>14</v>
      </c>
      <c r="F16" s="4" t="s">
        <v>51</v>
      </c>
      <c r="G16" s="4">
        <v>15.9</v>
      </c>
      <c r="H16" s="4"/>
      <c r="I16" s="4"/>
      <c r="L16" s="4"/>
      <c r="M16" s="4"/>
      <c r="O16" s="4"/>
      <c r="P16" s="4"/>
      <c r="R16" s="4"/>
      <c r="S16" s="4"/>
      <c r="T16" s="23"/>
      <c r="U16" s="4"/>
      <c r="V16" s="4"/>
      <c r="W16" s="4"/>
    </row>
    <row r="17" spans="1:23" ht="15.75" customHeight="1" x14ac:dyDescent="0.15">
      <c r="A17" s="4" t="s">
        <v>918</v>
      </c>
      <c r="B17" s="4" t="s">
        <v>940</v>
      </c>
      <c r="C17" s="4" t="s">
        <v>920</v>
      </c>
      <c r="D17" s="4" t="s">
        <v>935</v>
      </c>
      <c r="E17" s="4" t="s">
        <v>14</v>
      </c>
      <c r="F17" s="4" t="s">
        <v>51</v>
      </c>
      <c r="G17" s="4">
        <v>13.3</v>
      </c>
      <c r="H17" s="4"/>
      <c r="I17" s="4"/>
      <c r="L17" s="4"/>
      <c r="M17" s="4"/>
      <c r="O17" s="4"/>
      <c r="P17" s="4"/>
      <c r="R17" s="4"/>
      <c r="S17" s="4"/>
      <c r="T17" s="23"/>
      <c r="U17" s="4"/>
      <c r="V17" s="4"/>
      <c r="W17" s="4"/>
    </row>
    <row r="18" spans="1:23" ht="15.75" customHeight="1" x14ac:dyDescent="0.15">
      <c r="A18" s="4" t="s">
        <v>918</v>
      </c>
      <c r="B18" s="4" t="s">
        <v>940</v>
      </c>
      <c r="C18" s="4" t="s">
        <v>920</v>
      </c>
      <c r="D18" s="4" t="s">
        <v>936</v>
      </c>
      <c r="E18" s="4" t="s">
        <v>14</v>
      </c>
      <c r="F18" s="4" t="s">
        <v>51</v>
      </c>
      <c r="G18" s="4">
        <v>13.3</v>
      </c>
      <c r="H18" s="4"/>
      <c r="I18" s="4"/>
      <c r="L18" s="4"/>
      <c r="M18" s="4"/>
      <c r="T18" s="14"/>
    </row>
    <row r="19" spans="1:23" ht="15.75" customHeight="1" x14ac:dyDescent="0.15">
      <c r="A19" s="7" t="s">
        <v>941</v>
      </c>
      <c r="B19" s="4" t="s">
        <v>940</v>
      </c>
      <c r="C19" s="7" t="s">
        <v>902</v>
      </c>
      <c r="D19" s="7" t="s">
        <v>942</v>
      </c>
      <c r="E19" s="4" t="s">
        <v>14</v>
      </c>
      <c r="F19" s="4" t="s">
        <v>51</v>
      </c>
      <c r="G19" s="4">
        <v>9.57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23"/>
      <c r="U19" s="42"/>
      <c r="V19" s="43"/>
      <c r="W19" s="4"/>
    </row>
    <row r="20" spans="1:23" ht="15.75" customHeight="1" x14ac:dyDescent="0.15">
      <c r="A20" s="7" t="s">
        <v>941</v>
      </c>
      <c r="B20" s="4" t="s">
        <v>940</v>
      </c>
      <c r="C20" s="7" t="s">
        <v>902</v>
      </c>
      <c r="D20" s="7" t="s">
        <v>943</v>
      </c>
      <c r="E20" s="4" t="s">
        <v>14</v>
      </c>
      <c r="F20" s="4" t="s">
        <v>51</v>
      </c>
      <c r="G20" s="4">
        <v>22.7</v>
      </c>
      <c r="H20" s="4"/>
      <c r="I20" s="4"/>
      <c r="J20" s="4"/>
      <c r="K20" s="4"/>
      <c r="L20" s="4"/>
      <c r="M20" s="4"/>
      <c r="N20" s="92"/>
      <c r="O20" s="4"/>
      <c r="P20" s="4"/>
      <c r="Q20" s="4"/>
      <c r="R20" s="4"/>
      <c r="S20" s="4"/>
      <c r="T20" s="23"/>
      <c r="U20" s="109"/>
      <c r="V20" s="108"/>
      <c r="W20" s="4"/>
    </row>
    <row r="21" spans="1:23" ht="15.75" customHeight="1" x14ac:dyDescent="0.15">
      <c r="A21" s="7" t="s">
        <v>937</v>
      </c>
      <c r="B21" s="4" t="s">
        <v>940</v>
      </c>
      <c r="C21" s="7" t="s">
        <v>504</v>
      </c>
      <c r="D21" s="7" t="s">
        <v>943</v>
      </c>
      <c r="E21" s="4" t="s">
        <v>14</v>
      </c>
      <c r="F21" s="4" t="s">
        <v>51</v>
      </c>
      <c r="G21" s="23">
        <f>5.28/1.18</f>
        <v>4.4745762711864412</v>
      </c>
      <c r="H21" s="4"/>
      <c r="I21" s="4"/>
      <c r="J21" s="4"/>
      <c r="K21" s="4"/>
      <c r="L21" s="4"/>
      <c r="M21" s="4"/>
      <c r="N21" s="83"/>
      <c r="O21" s="4"/>
      <c r="P21" s="4"/>
      <c r="Q21" s="4"/>
      <c r="R21" s="4"/>
      <c r="S21" s="4"/>
      <c r="T21" s="23"/>
      <c r="U21" s="83"/>
      <c r="V21" s="83"/>
      <c r="W21" s="4"/>
    </row>
    <row r="22" spans="1:23" ht="15.75" customHeight="1" x14ac:dyDescent="0.15">
      <c r="H22" s="4"/>
      <c r="I22" s="4"/>
      <c r="J22" s="4"/>
      <c r="K22" s="4"/>
      <c r="L22" s="4"/>
      <c r="M22" s="4"/>
      <c r="N22" s="83"/>
      <c r="O22" s="4"/>
      <c r="P22" s="4"/>
      <c r="Q22" s="4"/>
      <c r="R22" s="4"/>
      <c r="S22" s="4"/>
      <c r="T22" s="23"/>
      <c r="U22" s="83"/>
      <c r="V22" s="83"/>
      <c r="W22" s="4"/>
    </row>
    <row r="23" spans="1:23" ht="15.75" customHeight="1" x14ac:dyDescent="0.15">
      <c r="H23" s="4"/>
      <c r="I23" s="4"/>
      <c r="J23" s="4"/>
      <c r="K23" s="4"/>
      <c r="L23" s="4"/>
      <c r="M23" s="4"/>
      <c r="N23" s="83"/>
      <c r="O23" s="4"/>
      <c r="P23" s="4"/>
      <c r="Q23" s="4"/>
      <c r="R23" s="4"/>
      <c r="S23" s="4"/>
      <c r="T23" s="23"/>
      <c r="U23" s="83"/>
      <c r="V23" s="83"/>
      <c r="W23" s="4"/>
    </row>
    <row r="24" spans="1:23" ht="15.75" customHeight="1" x14ac:dyDescent="0.15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3"/>
      <c r="U24" s="4"/>
      <c r="V24" s="4"/>
      <c r="W24" s="4"/>
    </row>
    <row r="25" spans="1:23" ht="15.75" customHeight="1" x14ac:dyDescent="0.15"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23"/>
      <c r="U25" s="4"/>
      <c r="V25" s="4"/>
      <c r="W25" s="4"/>
    </row>
    <row r="26" spans="1:23" ht="15.75" customHeight="1" x14ac:dyDescent="0.15">
      <c r="H26" s="4"/>
      <c r="I26" s="4"/>
      <c r="J26" s="4"/>
      <c r="K26" s="4"/>
      <c r="L26" s="4"/>
      <c r="M26" s="4"/>
      <c r="N26" s="4"/>
      <c r="O26" s="4"/>
      <c r="Q26" s="4"/>
      <c r="R26" s="4"/>
      <c r="S26" s="4"/>
      <c r="T26" s="23"/>
      <c r="U26" s="4"/>
      <c r="V26" s="4"/>
      <c r="W26" s="4"/>
    </row>
    <row r="27" spans="1:23" ht="15.75" customHeight="1" x14ac:dyDescent="0.15"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3"/>
      <c r="U27" s="4"/>
      <c r="V27" s="4"/>
      <c r="W27" s="4"/>
    </row>
    <row r="28" spans="1:23" ht="15.75" customHeight="1" x14ac:dyDescent="0.15"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23"/>
      <c r="U28" s="4"/>
      <c r="V28" s="4"/>
      <c r="W28" s="4"/>
    </row>
    <row r="29" spans="1:23" ht="15.75" customHeight="1" x14ac:dyDescent="0.15">
      <c r="H29" s="4"/>
      <c r="I29" s="4"/>
      <c r="J29" s="4"/>
      <c r="K29" s="4"/>
      <c r="L29" s="4"/>
      <c r="M29" s="4"/>
      <c r="N29" s="104"/>
      <c r="R29" s="4"/>
      <c r="S29" s="4"/>
      <c r="T29" s="23"/>
      <c r="U29" s="4"/>
      <c r="V29" s="4"/>
      <c r="W29" s="4"/>
    </row>
    <row r="30" spans="1:23" ht="15.75" customHeight="1" x14ac:dyDescent="0.15">
      <c r="H30" s="4"/>
      <c r="I30" s="4"/>
      <c r="J30" s="4"/>
      <c r="K30" s="4"/>
      <c r="L30" s="4"/>
      <c r="M30" s="4"/>
      <c r="N30" s="83"/>
      <c r="R30" s="4"/>
      <c r="S30" s="4"/>
      <c r="T30" s="23"/>
    </row>
    <row r="31" spans="1:23" ht="15.75" customHeight="1" x14ac:dyDescent="0.15">
      <c r="H31" s="4"/>
      <c r="I31" s="4"/>
      <c r="J31" s="4"/>
      <c r="K31" s="4"/>
      <c r="L31" s="4"/>
      <c r="M31" s="4"/>
      <c r="N31" s="83"/>
      <c r="O31" s="4"/>
      <c r="P31" s="4"/>
      <c r="R31" s="4"/>
      <c r="S31" s="4"/>
      <c r="T31" s="23"/>
    </row>
    <row r="32" spans="1:23" ht="15.75" customHeight="1" x14ac:dyDescent="0.15">
      <c r="H32" s="4"/>
      <c r="I32" s="4"/>
      <c r="J32" s="4"/>
      <c r="K32" s="4"/>
      <c r="L32" s="4"/>
      <c r="M32" s="4"/>
      <c r="N32" s="83"/>
      <c r="O32" s="4"/>
      <c r="P32" s="4"/>
      <c r="R32" s="4"/>
      <c r="S32" s="4"/>
      <c r="T32" s="23"/>
      <c r="U32" s="4"/>
      <c r="V32" s="4"/>
      <c r="W32" s="4"/>
    </row>
    <row r="33" spans="8:23" ht="15.75" customHeight="1" x14ac:dyDescent="0.15">
      <c r="H33" s="4"/>
      <c r="I33" s="4"/>
      <c r="J33" s="4"/>
      <c r="K33" s="4"/>
      <c r="L33" s="4"/>
      <c r="M33" s="4"/>
      <c r="N33" s="83"/>
      <c r="R33" s="4"/>
      <c r="S33" s="4"/>
      <c r="T33" s="23"/>
      <c r="U33" s="4"/>
      <c r="V33" s="4"/>
      <c r="W33" s="4"/>
    </row>
    <row r="34" spans="8:23" ht="15.75" customHeight="1" x14ac:dyDescent="0.15">
      <c r="H34" s="4"/>
      <c r="I34" s="4"/>
      <c r="J34" s="4"/>
      <c r="K34" s="4"/>
      <c r="L34" s="4"/>
      <c r="M34" s="4"/>
      <c r="N34" s="83"/>
      <c r="R34" s="4"/>
      <c r="S34" s="4"/>
      <c r="T34" s="23"/>
    </row>
    <row r="35" spans="8:23" ht="15.75" customHeight="1" x14ac:dyDescent="0.15">
      <c r="H35" s="4"/>
      <c r="I35" s="4"/>
      <c r="J35" s="4"/>
      <c r="K35" s="4"/>
      <c r="L35" s="4"/>
      <c r="M35" s="4"/>
      <c r="N35" s="83"/>
      <c r="O35" s="4"/>
      <c r="P35" s="4"/>
      <c r="R35" s="4"/>
      <c r="S35" s="4"/>
      <c r="T35" s="23"/>
    </row>
    <row r="36" spans="8:23" ht="15.75" customHeight="1" x14ac:dyDescent="0.15">
      <c r="H36" s="4"/>
      <c r="I36" s="4"/>
      <c r="J36" s="4"/>
      <c r="K36" s="4"/>
      <c r="L36" s="4"/>
      <c r="M36" s="4"/>
      <c r="N36" s="83"/>
      <c r="O36" s="4"/>
      <c r="P36" s="4"/>
      <c r="R36" s="4"/>
      <c r="S36" s="4"/>
      <c r="T36" s="23"/>
      <c r="U36" s="4"/>
      <c r="V36" s="4"/>
      <c r="W36" s="4"/>
    </row>
    <row r="37" spans="8:23" ht="15.75" customHeight="1" x14ac:dyDescent="0.15">
      <c r="H37" s="4"/>
      <c r="I37" s="4"/>
      <c r="J37" s="4"/>
      <c r="K37" s="4"/>
      <c r="L37" s="4"/>
      <c r="M37" s="4"/>
      <c r="N37" s="4"/>
      <c r="O37" s="4"/>
      <c r="P37" s="4"/>
      <c r="R37" s="4"/>
      <c r="S37" s="4"/>
      <c r="T37" s="23"/>
      <c r="U37" s="4"/>
      <c r="V37" s="4"/>
      <c r="W37" s="4"/>
    </row>
    <row r="38" spans="8:23" ht="15.75" customHeight="1" x14ac:dyDescent="0.15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23"/>
      <c r="U38" s="4"/>
      <c r="V38" s="4"/>
      <c r="W38" s="4"/>
    </row>
    <row r="39" spans="8:23" ht="15.75" customHeight="1" x14ac:dyDescent="0.15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3"/>
      <c r="U39" s="4"/>
      <c r="V39" s="4"/>
      <c r="W39" s="4"/>
    </row>
    <row r="40" spans="8:23" ht="15.75" customHeight="1" x14ac:dyDescent="0.15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3"/>
      <c r="U40" s="4"/>
      <c r="V40" s="4"/>
      <c r="W40" s="4"/>
    </row>
    <row r="41" spans="8:23" ht="15.75" customHeight="1" x14ac:dyDescent="0.15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3"/>
      <c r="U41" s="4"/>
      <c r="V41" s="4"/>
      <c r="W41" s="4"/>
    </row>
    <row r="42" spans="8:23" ht="15.75" customHeight="1" x14ac:dyDescent="0.15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3"/>
      <c r="U42" s="4"/>
      <c r="V42" s="4"/>
      <c r="W42" s="4"/>
    </row>
    <row r="43" spans="8:23" ht="15.75" customHeight="1" x14ac:dyDescent="0.15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3"/>
      <c r="U43" s="4"/>
      <c r="V43" s="4"/>
      <c r="W43" s="4"/>
    </row>
    <row r="44" spans="8:23" ht="15.75" customHeight="1" x14ac:dyDescent="0.15"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3"/>
      <c r="U44" s="4"/>
      <c r="V44" s="4"/>
      <c r="W44" s="4"/>
    </row>
    <row r="45" spans="8:23" ht="15.75" customHeight="1" x14ac:dyDescent="0.15"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23"/>
      <c r="U45" s="4"/>
      <c r="V45" s="4"/>
      <c r="W45" s="4"/>
    </row>
    <row r="46" spans="8:23" ht="15.75" customHeight="1" x14ac:dyDescent="0.15"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3"/>
      <c r="U46" s="4"/>
      <c r="V46" s="4"/>
      <c r="W46" s="4"/>
    </row>
    <row r="47" spans="8:23" ht="15.75" customHeight="1" x14ac:dyDescent="0.15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23"/>
      <c r="U47" s="4"/>
      <c r="V47" s="4"/>
      <c r="W47" s="4"/>
    </row>
    <row r="48" spans="8:23" ht="15.75" customHeight="1" x14ac:dyDescent="0.15"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23"/>
      <c r="U48" s="4"/>
      <c r="V48" s="4"/>
      <c r="W48" s="4"/>
    </row>
    <row r="49" spans="1:23" ht="15.75" customHeight="1" x14ac:dyDescent="0.15">
      <c r="H49" s="4"/>
      <c r="I49" s="4"/>
      <c r="J49" s="4"/>
      <c r="K49" s="4"/>
      <c r="L49" s="4"/>
      <c r="M49" s="4"/>
      <c r="N49" s="4"/>
      <c r="O49" s="4"/>
      <c r="Q49" s="4"/>
      <c r="R49" s="4"/>
      <c r="S49" s="4"/>
      <c r="T49" s="23"/>
    </row>
    <row r="50" spans="1:23" ht="15.75" customHeight="1" x14ac:dyDescent="0.15"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23"/>
    </row>
    <row r="51" spans="1:23" ht="15.75" customHeight="1" x14ac:dyDescent="0.15"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23"/>
    </row>
    <row r="52" spans="1:23" ht="15.75" customHeight="1" x14ac:dyDescent="0.15"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15"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15"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15"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15">
      <c r="A56" s="4"/>
      <c r="B56" s="4"/>
      <c r="C56" s="4"/>
      <c r="D56" s="4"/>
      <c r="E56" s="4"/>
      <c r="F56" s="4"/>
      <c r="G56" s="2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15">
      <c r="A57" s="4"/>
      <c r="B57" s="4"/>
      <c r="C57" s="4"/>
      <c r="D57" s="4"/>
      <c r="E57" s="4"/>
      <c r="F57" s="4"/>
      <c r="G57" s="2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15">
      <c r="A58" s="4"/>
      <c r="B58" s="4"/>
      <c r="C58" s="4"/>
      <c r="D58" s="4"/>
      <c r="E58" s="4"/>
      <c r="F58" s="4"/>
      <c r="G58" s="2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15">
      <c r="A59" s="4"/>
      <c r="B59" s="4"/>
      <c r="C59" s="4"/>
      <c r="D59" s="4"/>
      <c r="E59" s="4"/>
      <c r="F59" s="4"/>
      <c r="G59" s="2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15">
      <c r="A60" s="4"/>
      <c r="B60" s="4"/>
      <c r="C60" s="4"/>
      <c r="D60" s="4"/>
      <c r="E60" s="4"/>
      <c r="F60" s="4"/>
      <c r="G60" s="2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15">
      <c r="A61" s="4"/>
      <c r="B61" s="4"/>
      <c r="C61" s="4"/>
      <c r="D61" s="4"/>
      <c r="E61" s="4"/>
      <c r="F61" s="4"/>
      <c r="G61" s="2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15">
      <c r="A62" s="4"/>
      <c r="B62" s="4"/>
      <c r="C62" s="4"/>
      <c r="D62" s="4"/>
      <c r="E62" s="4"/>
      <c r="F62" s="4"/>
      <c r="G62" s="2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15">
      <c r="A63" s="4"/>
      <c r="B63" s="4"/>
      <c r="C63" s="4"/>
      <c r="D63" s="4"/>
      <c r="E63" s="4"/>
      <c r="F63" s="4"/>
      <c r="G63" s="2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15">
      <c r="A64" s="4"/>
      <c r="B64" s="4"/>
      <c r="C64" s="4"/>
      <c r="D64" s="4"/>
      <c r="E64" s="4"/>
      <c r="F64" s="4"/>
      <c r="G64" s="2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15">
      <c r="A65" s="4"/>
      <c r="B65" s="4"/>
      <c r="C65" s="4"/>
      <c r="D65" s="4"/>
      <c r="E65" s="4"/>
      <c r="F65" s="4"/>
      <c r="G65" s="2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15">
      <c r="A66" s="4"/>
      <c r="B66" s="4"/>
      <c r="C66" s="4"/>
      <c r="D66" s="4"/>
      <c r="E66" s="4"/>
      <c r="F66" s="4"/>
      <c r="G66" s="2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15">
      <c r="A67" s="4"/>
      <c r="B67" s="4"/>
      <c r="C67" s="4"/>
      <c r="D67" s="4"/>
      <c r="E67" s="4"/>
      <c r="F67" s="4"/>
      <c r="G67" s="2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15">
      <c r="A68" s="4"/>
      <c r="B68" s="4"/>
      <c r="C68" s="4"/>
      <c r="D68" s="4"/>
      <c r="E68" s="4"/>
      <c r="F68" s="4"/>
      <c r="G68" s="2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15">
      <c r="A69" s="4"/>
      <c r="B69" s="4"/>
      <c r="C69" s="4"/>
      <c r="D69" s="4"/>
      <c r="E69" s="4"/>
      <c r="F69" s="4"/>
      <c r="G69" s="2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15">
      <c r="A70" s="4"/>
      <c r="B70" s="4"/>
      <c r="C70" s="4"/>
      <c r="D70" s="4"/>
      <c r="E70" s="4"/>
      <c r="F70" s="4"/>
      <c r="G70" s="2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15">
      <c r="A71" s="4"/>
      <c r="B71" s="4"/>
      <c r="C71" s="4"/>
      <c r="D71" s="4"/>
      <c r="E71" s="4"/>
      <c r="F71" s="4"/>
      <c r="G71" s="2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15">
      <c r="A72" s="4"/>
      <c r="B72" s="4"/>
      <c r="C72" s="4"/>
      <c r="D72" s="4"/>
      <c r="E72" s="4"/>
      <c r="F72" s="4"/>
      <c r="G72" s="2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15">
      <c r="A73" s="4"/>
      <c r="B73" s="4"/>
      <c r="C73" s="4"/>
      <c r="D73" s="4"/>
      <c r="E73" s="4"/>
      <c r="F73" s="4"/>
      <c r="G73" s="2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15">
      <c r="A74" s="4"/>
      <c r="B74" s="4"/>
      <c r="C74" s="4"/>
      <c r="D74" s="4"/>
      <c r="E74" s="4"/>
      <c r="F74" s="4"/>
      <c r="G74" s="2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15">
      <c r="A75" s="4"/>
      <c r="B75" s="4"/>
      <c r="C75" s="4"/>
      <c r="D75" s="4"/>
      <c r="E75" s="4"/>
      <c r="F75" s="4"/>
      <c r="G75" s="2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15">
      <c r="A76" s="4"/>
      <c r="B76" s="4"/>
      <c r="C76" s="4"/>
      <c r="D76" s="4"/>
      <c r="E76" s="4"/>
      <c r="F76" s="4"/>
      <c r="G76" s="2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15">
      <c r="A77" s="4"/>
      <c r="B77" s="4"/>
      <c r="C77" s="4"/>
      <c r="D77" s="4"/>
      <c r="E77" s="4"/>
      <c r="F77" s="4"/>
      <c r="G77" s="2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15">
      <c r="A78" s="4"/>
      <c r="B78" s="4"/>
      <c r="C78" s="4"/>
      <c r="D78" s="4"/>
      <c r="E78" s="4"/>
      <c r="F78" s="4"/>
      <c r="G78" s="2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15">
      <c r="A79" s="4"/>
      <c r="B79" s="4"/>
      <c r="C79" s="4"/>
      <c r="D79" s="4"/>
      <c r="E79" s="4"/>
      <c r="F79" s="4"/>
      <c r="G79" s="2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15">
      <c r="A80" s="4"/>
      <c r="B80" s="4"/>
      <c r="C80" s="4"/>
      <c r="D80" s="4"/>
      <c r="E80" s="4"/>
      <c r="F80" s="4"/>
      <c r="G80" s="2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15">
      <c r="A81" s="4"/>
      <c r="B81" s="4"/>
      <c r="C81" s="4"/>
      <c r="D81" s="4"/>
      <c r="E81" s="4"/>
      <c r="F81" s="4"/>
      <c r="G81" s="2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15">
      <c r="A82" s="4"/>
      <c r="B82" s="4"/>
      <c r="C82" s="4"/>
      <c r="D82" s="4"/>
      <c r="E82" s="4"/>
      <c r="F82" s="4"/>
      <c r="G82" s="2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15">
      <c r="A83" s="4"/>
      <c r="B83" s="4"/>
      <c r="C83" s="4"/>
      <c r="D83" s="4"/>
      <c r="E83" s="4"/>
      <c r="F83" s="4"/>
      <c r="G83" s="2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15">
      <c r="A84" s="4"/>
      <c r="B84" s="4"/>
      <c r="C84" s="4"/>
      <c r="D84" s="4"/>
      <c r="E84" s="4"/>
      <c r="F84" s="4"/>
      <c r="G84" s="2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15">
      <c r="A85" s="4"/>
      <c r="B85" s="4"/>
      <c r="C85" s="4"/>
      <c r="D85" s="4"/>
      <c r="E85" s="4"/>
      <c r="F85" s="4"/>
      <c r="G85" s="2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15">
      <c r="A86" s="4"/>
      <c r="B86" s="4"/>
      <c r="C86" s="4"/>
      <c r="D86" s="4"/>
      <c r="E86" s="4"/>
      <c r="F86" s="4"/>
      <c r="G86" s="2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15">
      <c r="A87" s="4"/>
      <c r="B87" s="4"/>
      <c r="C87" s="4"/>
      <c r="D87" s="4"/>
      <c r="E87" s="4"/>
      <c r="F87" s="4"/>
      <c r="G87" s="2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15">
      <c r="A88" s="4"/>
      <c r="B88" s="4"/>
      <c r="C88" s="4"/>
      <c r="D88" s="4"/>
      <c r="E88" s="4"/>
      <c r="F88" s="4"/>
      <c r="G88" s="2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15">
      <c r="A89" s="4"/>
      <c r="B89" s="4"/>
      <c r="C89" s="4"/>
      <c r="D89" s="4"/>
      <c r="E89" s="4"/>
      <c r="F89" s="4"/>
      <c r="G89" s="2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15">
      <c r="A90" s="4"/>
      <c r="B90" s="4"/>
      <c r="C90" s="4"/>
      <c r="D90" s="4"/>
      <c r="E90" s="4"/>
      <c r="F90" s="4"/>
      <c r="G90" s="2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15">
      <c r="A91" s="4"/>
      <c r="B91" s="4"/>
      <c r="C91" s="4"/>
      <c r="D91" s="4"/>
      <c r="E91" s="4"/>
      <c r="F91" s="4"/>
      <c r="G91" s="2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15">
      <c r="A92" s="4"/>
      <c r="B92" s="4"/>
      <c r="C92" s="4"/>
      <c r="D92" s="4"/>
      <c r="E92" s="4"/>
      <c r="F92" s="4"/>
      <c r="G92" s="2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15">
      <c r="A93" s="4"/>
      <c r="B93" s="4"/>
      <c r="C93" s="4"/>
      <c r="D93" s="4"/>
      <c r="E93" s="4"/>
      <c r="F93" s="4"/>
      <c r="G93" s="2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15">
      <c r="A94" s="4"/>
      <c r="B94" s="4"/>
      <c r="C94" s="4"/>
      <c r="D94" s="4"/>
      <c r="E94" s="4"/>
      <c r="F94" s="4"/>
      <c r="G94" s="2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15">
      <c r="A95" s="4"/>
      <c r="B95" s="4"/>
      <c r="C95" s="4"/>
      <c r="D95" s="4"/>
      <c r="E95" s="4"/>
      <c r="F95" s="4"/>
      <c r="G95" s="2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15">
      <c r="A96" s="4"/>
      <c r="B96" s="4"/>
      <c r="C96" s="4"/>
      <c r="D96" s="4"/>
      <c r="E96" s="4"/>
      <c r="F96" s="4"/>
      <c r="G96" s="2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15">
      <c r="A97" s="4"/>
      <c r="B97" s="4"/>
      <c r="C97" s="4"/>
      <c r="D97" s="4"/>
      <c r="E97" s="4"/>
      <c r="F97" s="4"/>
      <c r="G97" s="2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15">
      <c r="A98" s="4"/>
      <c r="B98" s="4"/>
      <c r="C98" s="4"/>
      <c r="D98" s="4"/>
      <c r="E98" s="4"/>
      <c r="F98" s="4"/>
      <c r="G98" s="2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15">
      <c r="A99" s="4"/>
      <c r="B99" s="4"/>
      <c r="C99" s="4"/>
      <c r="D99" s="4"/>
      <c r="E99" s="4"/>
      <c r="F99" s="4"/>
      <c r="G99" s="2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15">
      <c r="A100" s="4"/>
      <c r="B100" s="4"/>
      <c r="C100" s="4"/>
      <c r="D100" s="4"/>
      <c r="E100" s="4"/>
      <c r="F100" s="4"/>
      <c r="G100" s="2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15">
      <c r="A101" s="4"/>
      <c r="B101" s="4"/>
      <c r="C101" s="4"/>
      <c r="D101" s="4"/>
      <c r="E101" s="4"/>
      <c r="F101" s="4"/>
      <c r="G101" s="2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15">
      <c r="A102" s="4"/>
      <c r="B102" s="4"/>
      <c r="C102" s="4"/>
      <c r="D102" s="4"/>
      <c r="E102" s="4"/>
      <c r="F102" s="4"/>
      <c r="G102" s="2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15">
      <c r="A103" s="4"/>
      <c r="B103" s="4"/>
      <c r="C103" s="4"/>
      <c r="D103" s="4"/>
      <c r="E103" s="4"/>
      <c r="F103" s="4"/>
      <c r="G103" s="2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15">
      <c r="A104" s="4"/>
      <c r="B104" s="4"/>
      <c r="C104" s="4"/>
      <c r="D104" s="4"/>
      <c r="E104" s="4"/>
      <c r="F104" s="4"/>
      <c r="G104" s="2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15">
      <c r="A105" s="4"/>
      <c r="B105" s="4"/>
      <c r="C105" s="4"/>
      <c r="D105" s="4"/>
      <c r="E105" s="4"/>
      <c r="F105" s="4"/>
      <c r="G105" s="2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15">
      <c r="A106" s="4"/>
      <c r="B106" s="4"/>
      <c r="C106" s="4"/>
      <c r="D106" s="4"/>
      <c r="E106" s="4"/>
      <c r="F106" s="4"/>
      <c r="G106" s="2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15">
      <c r="A107" s="4"/>
      <c r="B107" s="4"/>
      <c r="C107" s="4"/>
      <c r="D107" s="4"/>
      <c r="E107" s="4"/>
      <c r="F107" s="4"/>
      <c r="G107" s="2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15">
      <c r="A108" s="4"/>
      <c r="B108" s="4"/>
      <c r="C108" s="4"/>
      <c r="D108" s="4"/>
      <c r="E108" s="4"/>
      <c r="F108" s="4"/>
      <c r="G108" s="2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15">
      <c r="A109" s="4"/>
      <c r="B109" s="4"/>
      <c r="C109" s="4"/>
      <c r="D109" s="4"/>
      <c r="E109" s="4"/>
      <c r="F109" s="4"/>
      <c r="G109" s="2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15">
      <c r="A110" s="4"/>
      <c r="B110" s="4"/>
      <c r="C110" s="4"/>
      <c r="D110" s="4"/>
      <c r="E110" s="4"/>
      <c r="F110" s="4"/>
      <c r="G110" s="2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15">
      <c r="A111" s="4"/>
      <c r="B111" s="4"/>
      <c r="C111" s="4"/>
      <c r="D111" s="4"/>
      <c r="E111" s="4"/>
      <c r="F111" s="4"/>
      <c r="G111" s="2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15">
      <c r="A112" s="4"/>
      <c r="B112" s="4"/>
      <c r="C112" s="4"/>
      <c r="D112" s="4"/>
      <c r="E112" s="4"/>
      <c r="F112" s="4"/>
      <c r="G112" s="2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15">
      <c r="A113" s="4"/>
      <c r="B113" s="4"/>
      <c r="C113" s="4"/>
      <c r="D113" s="4"/>
      <c r="E113" s="4"/>
      <c r="F113" s="4"/>
      <c r="G113" s="2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15">
      <c r="A114" s="4"/>
      <c r="B114" s="4"/>
      <c r="C114" s="4"/>
      <c r="D114" s="4"/>
      <c r="E114" s="4"/>
      <c r="F114" s="4"/>
      <c r="G114" s="2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15">
      <c r="A115" s="4"/>
      <c r="B115" s="4"/>
      <c r="C115" s="4"/>
      <c r="D115" s="4"/>
      <c r="E115" s="4"/>
      <c r="F115" s="4"/>
      <c r="G115" s="2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15">
      <c r="A116" s="4"/>
      <c r="B116" s="4"/>
      <c r="C116" s="4"/>
      <c r="D116" s="4"/>
      <c r="E116" s="4"/>
      <c r="F116" s="4"/>
      <c r="G116" s="2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15">
      <c r="A117" s="4"/>
      <c r="B117" s="4"/>
      <c r="C117" s="4"/>
      <c r="D117" s="4"/>
      <c r="E117" s="4"/>
      <c r="F117" s="4"/>
      <c r="G117" s="2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15">
      <c r="A118" s="4"/>
      <c r="B118" s="4"/>
      <c r="C118" s="4"/>
      <c r="D118" s="4"/>
      <c r="E118" s="4"/>
      <c r="F118" s="4"/>
      <c r="G118" s="2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15">
      <c r="A119" s="4"/>
      <c r="B119" s="4"/>
      <c r="C119" s="4"/>
      <c r="D119" s="4"/>
      <c r="E119" s="4"/>
      <c r="F119" s="4"/>
      <c r="G119" s="2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15">
      <c r="A120" s="4"/>
      <c r="B120" s="4"/>
      <c r="C120" s="4"/>
      <c r="D120" s="4"/>
      <c r="E120" s="4"/>
      <c r="F120" s="4"/>
      <c r="G120" s="2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15">
      <c r="A121" s="4"/>
      <c r="B121" s="4"/>
      <c r="C121" s="4"/>
      <c r="D121" s="4"/>
      <c r="E121" s="4"/>
      <c r="F121" s="4"/>
      <c r="G121" s="2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15">
      <c r="A122" s="4"/>
      <c r="B122" s="4"/>
      <c r="C122" s="4"/>
      <c r="D122" s="4"/>
      <c r="E122" s="4"/>
      <c r="F122" s="4"/>
      <c r="G122" s="2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15">
      <c r="A123" s="4"/>
      <c r="B123" s="4"/>
      <c r="C123" s="4"/>
      <c r="D123" s="4"/>
      <c r="E123" s="4"/>
      <c r="F123" s="4"/>
      <c r="G123" s="2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15">
      <c r="A124" s="4"/>
      <c r="B124" s="4"/>
      <c r="C124" s="4"/>
      <c r="D124" s="4"/>
      <c r="E124" s="4"/>
      <c r="F124" s="4"/>
      <c r="G124" s="2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15">
      <c r="A125" s="4"/>
      <c r="B125" s="4"/>
      <c r="C125" s="4"/>
      <c r="D125" s="4"/>
      <c r="E125" s="4"/>
      <c r="F125" s="4"/>
      <c r="G125" s="2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15">
      <c r="A126" s="4"/>
      <c r="B126" s="4"/>
      <c r="C126" s="4"/>
      <c r="D126" s="4"/>
      <c r="E126" s="4"/>
      <c r="F126" s="4"/>
      <c r="G126" s="2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15">
      <c r="A127" s="4"/>
      <c r="B127" s="4"/>
      <c r="C127" s="4"/>
      <c r="D127" s="4"/>
      <c r="E127" s="4"/>
      <c r="F127" s="4"/>
      <c r="G127" s="2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15">
      <c r="A128" s="4"/>
      <c r="B128" s="4"/>
      <c r="C128" s="4"/>
      <c r="D128" s="4"/>
      <c r="E128" s="4"/>
      <c r="F128" s="4"/>
      <c r="G128" s="2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15">
      <c r="A129" s="4"/>
      <c r="B129" s="4"/>
      <c r="C129" s="4"/>
      <c r="D129" s="4"/>
      <c r="E129" s="4"/>
      <c r="F129" s="4"/>
      <c r="G129" s="2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15">
      <c r="A130" s="4"/>
      <c r="B130" s="4"/>
      <c r="C130" s="4"/>
      <c r="D130" s="4"/>
      <c r="E130" s="4"/>
      <c r="F130" s="4"/>
      <c r="G130" s="2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15">
      <c r="A131" s="4"/>
      <c r="B131" s="4"/>
      <c r="C131" s="4"/>
      <c r="D131" s="4"/>
      <c r="E131" s="4"/>
      <c r="F131" s="4"/>
      <c r="G131" s="2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15">
      <c r="A132" s="4"/>
      <c r="B132" s="4"/>
      <c r="C132" s="4"/>
      <c r="D132" s="4"/>
      <c r="E132" s="4"/>
      <c r="F132" s="4"/>
      <c r="G132" s="2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15">
      <c r="A133" s="4"/>
      <c r="B133" s="4"/>
      <c r="C133" s="4"/>
      <c r="D133" s="4"/>
      <c r="E133" s="4"/>
      <c r="F133" s="4"/>
      <c r="G133" s="2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15">
      <c r="A134" s="4"/>
      <c r="B134" s="4"/>
      <c r="C134" s="4"/>
      <c r="D134" s="4"/>
      <c r="E134" s="4"/>
      <c r="F134" s="4"/>
      <c r="G134" s="2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15">
      <c r="A135" s="4"/>
      <c r="B135" s="4"/>
      <c r="C135" s="4"/>
      <c r="D135" s="4"/>
      <c r="E135" s="4"/>
      <c r="F135" s="4"/>
      <c r="G135" s="2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15">
      <c r="A136" s="4"/>
      <c r="B136" s="4"/>
      <c r="C136" s="4"/>
      <c r="D136" s="4"/>
      <c r="E136" s="4"/>
      <c r="F136" s="4"/>
      <c r="G136" s="2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15">
      <c r="A137" s="4"/>
      <c r="B137" s="4"/>
      <c r="C137" s="4"/>
      <c r="D137" s="4"/>
      <c r="E137" s="4"/>
      <c r="F137" s="4"/>
      <c r="G137" s="2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15">
      <c r="A138" s="4"/>
      <c r="B138" s="4"/>
      <c r="C138" s="4"/>
      <c r="D138" s="4"/>
      <c r="E138" s="4"/>
      <c r="F138" s="4"/>
      <c r="G138" s="2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15">
      <c r="A139" s="4"/>
      <c r="B139" s="4"/>
      <c r="C139" s="4"/>
      <c r="D139" s="4"/>
      <c r="E139" s="4"/>
      <c r="F139" s="4"/>
      <c r="G139" s="2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15">
      <c r="A140" s="4"/>
      <c r="B140" s="4"/>
      <c r="C140" s="4"/>
      <c r="D140" s="4"/>
      <c r="E140" s="4"/>
      <c r="F140" s="4"/>
      <c r="G140" s="2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15">
      <c r="A141" s="4"/>
      <c r="B141" s="4"/>
      <c r="C141" s="4"/>
      <c r="D141" s="4"/>
      <c r="E141" s="4"/>
      <c r="F141" s="4"/>
      <c r="G141" s="2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15">
      <c r="A142" s="4"/>
      <c r="B142" s="4"/>
      <c r="C142" s="4"/>
      <c r="D142" s="4"/>
      <c r="E142" s="4"/>
      <c r="F142" s="4"/>
      <c r="G142" s="2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15">
      <c r="A143" s="4"/>
      <c r="B143" s="4"/>
      <c r="C143" s="4"/>
      <c r="D143" s="4"/>
      <c r="E143" s="4"/>
      <c r="F143" s="4"/>
      <c r="G143" s="2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15">
      <c r="A144" s="4"/>
      <c r="B144" s="4"/>
      <c r="C144" s="4"/>
      <c r="D144" s="4"/>
      <c r="E144" s="4"/>
      <c r="F144" s="4"/>
      <c r="G144" s="2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15">
      <c r="A145" s="4"/>
      <c r="B145" s="4"/>
      <c r="C145" s="4"/>
      <c r="D145" s="4"/>
      <c r="E145" s="4"/>
      <c r="F145" s="4"/>
      <c r="G145" s="2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15">
      <c r="A146" s="4"/>
      <c r="B146" s="4"/>
      <c r="C146" s="4"/>
      <c r="D146" s="4"/>
      <c r="E146" s="4"/>
      <c r="F146" s="4"/>
      <c r="G146" s="2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15">
      <c r="A147" s="4"/>
      <c r="B147" s="4"/>
      <c r="C147" s="4"/>
      <c r="D147" s="4"/>
      <c r="E147" s="4"/>
      <c r="F147" s="4"/>
      <c r="G147" s="2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15">
      <c r="A148" s="4"/>
      <c r="B148" s="4"/>
      <c r="C148" s="4"/>
      <c r="D148" s="4"/>
      <c r="E148" s="4"/>
      <c r="F148" s="4"/>
      <c r="G148" s="2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15">
      <c r="A149" s="4"/>
      <c r="B149" s="4"/>
      <c r="C149" s="4"/>
      <c r="D149" s="4"/>
      <c r="E149" s="4"/>
      <c r="F149" s="4"/>
      <c r="G149" s="2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15">
      <c r="A150" s="4"/>
      <c r="B150" s="4"/>
      <c r="C150" s="4"/>
      <c r="D150" s="4"/>
      <c r="E150" s="4"/>
      <c r="F150" s="4"/>
      <c r="G150" s="2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15">
      <c r="A151" s="4"/>
      <c r="B151" s="4"/>
      <c r="C151" s="4"/>
      <c r="D151" s="4"/>
      <c r="E151" s="4"/>
      <c r="F151" s="4"/>
      <c r="G151" s="2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15">
      <c r="A152" s="4"/>
      <c r="B152" s="4"/>
      <c r="C152" s="4"/>
      <c r="D152" s="4"/>
      <c r="E152" s="4"/>
      <c r="F152" s="4"/>
      <c r="G152" s="2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15">
      <c r="A153" s="4"/>
      <c r="B153" s="4"/>
      <c r="C153" s="4"/>
      <c r="D153" s="4"/>
      <c r="E153" s="4"/>
      <c r="F153" s="4"/>
      <c r="G153" s="2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15">
      <c r="A154" s="4"/>
      <c r="B154" s="4"/>
      <c r="C154" s="4"/>
      <c r="D154" s="4"/>
      <c r="E154" s="4"/>
      <c r="F154" s="4"/>
      <c r="G154" s="2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15">
      <c r="A155" s="4"/>
      <c r="B155" s="4"/>
      <c r="C155" s="4"/>
      <c r="D155" s="4"/>
      <c r="E155" s="4"/>
      <c r="F155" s="4"/>
      <c r="G155" s="2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15">
      <c r="A156" s="4"/>
      <c r="B156" s="4"/>
      <c r="C156" s="4"/>
      <c r="D156" s="4"/>
      <c r="E156" s="4"/>
      <c r="F156" s="4"/>
      <c r="G156" s="2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15">
      <c r="A157" s="4"/>
      <c r="B157" s="4"/>
      <c r="C157" s="4"/>
      <c r="D157" s="4"/>
      <c r="E157" s="4"/>
      <c r="F157" s="4"/>
      <c r="G157" s="2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15">
      <c r="A158" s="4"/>
      <c r="B158" s="4"/>
      <c r="C158" s="4"/>
      <c r="D158" s="4"/>
      <c r="E158" s="4"/>
      <c r="F158" s="4"/>
      <c r="G158" s="2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15">
      <c r="A159" s="4"/>
      <c r="B159" s="4"/>
      <c r="C159" s="4"/>
      <c r="D159" s="4"/>
      <c r="E159" s="4"/>
      <c r="F159" s="4"/>
      <c r="G159" s="2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15">
      <c r="A160" s="4"/>
      <c r="B160" s="4"/>
      <c r="C160" s="4"/>
      <c r="D160" s="4"/>
      <c r="E160" s="4"/>
      <c r="F160" s="4"/>
      <c r="G160" s="2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15">
      <c r="A161" s="4"/>
      <c r="B161" s="4"/>
      <c r="C161" s="4"/>
      <c r="D161" s="4"/>
      <c r="E161" s="4"/>
      <c r="F161" s="4"/>
      <c r="G161" s="2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15">
      <c r="A162" s="4"/>
      <c r="B162" s="4"/>
      <c r="C162" s="4"/>
      <c r="D162" s="4"/>
      <c r="E162" s="4"/>
      <c r="F162" s="4"/>
      <c r="G162" s="2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15">
      <c r="A163" s="4"/>
      <c r="B163" s="4"/>
      <c r="C163" s="4"/>
      <c r="D163" s="4"/>
      <c r="E163" s="4"/>
      <c r="F163" s="4"/>
      <c r="G163" s="2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15">
      <c r="A164" s="4"/>
      <c r="B164" s="4"/>
      <c r="C164" s="4"/>
      <c r="D164" s="4"/>
      <c r="E164" s="4"/>
      <c r="F164" s="4"/>
      <c r="G164" s="2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15">
      <c r="A165" s="4"/>
      <c r="B165" s="4"/>
      <c r="C165" s="4"/>
      <c r="D165" s="4"/>
      <c r="E165" s="4"/>
      <c r="F165" s="4"/>
      <c r="G165" s="2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15">
      <c r="A166" s="4"/>
      <c r="B166" s="4"/>
      <c r="C166" s="4"/>
      <c r="D166" s="4"/>
      <c r="E166" s="4"/>
      <c r="F166" s="4"/>
      <c r="G166" s="2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15">
      <c r="A167" s="4"/>
      <c r="B167" s="4"/>
      <c r="C167" s="4"/>
      <c r="D167" s="4"/>
      <c r="E167" s="4"/>
      <c r="F167" s="4"/>
      <c r="G167" s="2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15">
      <c r="A168" s="4"/>
      <c r="B168" s="4"/>
      <c r="C168" s="4"/>
      <c r="D168" s="4"/>
      <c r="E168" s="4"/>
      <c r="F168" s="4"/>
      <c r="G168" s="2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15">
      <c r="A169" s="4"/>
      <c r="B169" s="4"/>
      <c r="C169" s="4"/>
      <c r="D169" s="4"/>
      <c r="E169" s="4"/>
      <c r="F169" s="4"/>
      <c r="G169" s="2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15">
      <c r="A170" s="4"/>
      <c r="B170" s="4"/>
      <c r="C170" s="4"/>
      <c r="D170" s="4"/>
      <c r="E170" s="4"/>
      <c r="F170" s="4"/>
      <c r="G170" s="2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15">
      <c r="A171" s="4"/>
      <c r="B171" s="4"/>
      <c r="C171" s="4"/>
      <c r="D171" s="4"/>
      <c r="E171" s="4"/>
      <c r="F171" s="4"/>
      <c r="G171" s="2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15">
      <c r="A172" s="4"/>
      <c r="B172" s="4"/>
      <c r="C172" s="4"/>
      <c r="D172" s="4"/>
      <c r="E172" s="4"/>
      <c r="F172" s="4"/>
      <c r="G172" s="2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15">
      <c r="A173" s="4"/>
      <c r="B173" s="4"/>
      <c r="C173" s="4"/>
      <c r="D173" s="4"/>
      <c r="E173" s="4"/>
      <c r="F173" s="4"/>
      <c r="G173" s="2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15">
      <c r="A174" s="4"/>
      <c r="B174" s="4"/>
      <c r="C174" s="4"/>
      <c r="D174" s="4"/>
      <c r="E174" s="4"/>
      <c r="F174" s="4"/>
      <c r="G174" s="2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15">
      <c r="A175" s="4"/>
      <c r="B175" s="4"/>
      <c r="C175" s="4"/>
      <c r="D175" s="4"/>
      <c r="E175" s="4"/>
      <c r="F175" s="4"/>
      <c r="G175" s="2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15">
      <c r="A176" s="4"/>
      <c r="B176" s="4"/>
      <c r="C176" s="4"/>
      <c r="D176" s="4"/>
      <c r="E176" s="4"/>
      <c r="F176" s="4"/>
      <c r="G176" s="2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15">
      <c r="A177" s="4"/>
      <c r="B177" s="4"/>
      <c r="C177" s="4"/>
      <c r="D177" s="4"/>
      <c r="E177" s="4"/>
      <c r="F177" s="4"/>
      <c r="G177" s="2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15">
      <c r="A178" s="4"/>
      <c r="B178" s="4"/>
      <c r="C178" s="4"/>
      <c r="D178" s="4"/>
      <c r="E178" s="4"/>
      <c r="F178" s="4"/>
      <c r="G178" s="2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15">
      <c r="A179" s="4"/>
      <c r="B179" s="4"/>
      <c r="C179" s="4"/>
      <c r="D179" s="4"/>
      <c r="E179" s="4"/>
      <c r="F179" s="4"/>
      <c r="G179" s="2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15">
      <c r="A180" s="4"/>
      <c r="B180" s="4"/>
      <c r="C180" s="4"/>
      <c r="D180" s="4"/>
      <c r="E180" s="4"/>
      <c r="F180" s="4"/>
      <c r="G180" s="2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15">
      <c r="A181" s="4"/>
      <c r="B181" s="4"/>
      <c r="C181" s="4"/>
      <c r="D181" s="4"/>
      <c r="E181" s="4"/>
      <c r="F181" s="4"/>
      <c r="G181" s="2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15">
      <c r="A182" s="4"/>
      <c r="B182" s="4"/>
      <c r="C182" s="4"/>
      <c r="D182" s="4"/>
      <c r="E182" s="4"/>
      <c r="F182" s="4"/>
      <c r="G182" s="2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15">
      <c r="A183" s="4"/>
      <c r="B183" s="4"/>
      <c r="C183" s="4"/>
      <c r="D183" s="4"/>
      <c r="E183" s="4"/>
      <c r="F183" s="4"/>
      <c r="G183" s="2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15">
      <c r="A184" s="4"/>
      <c r="B184" s="4"/>
      <c r="C184" s="4"/>
      <c r="D184" s="4"/>
      <c r="E184" s="4"/>
      <c r="F184" s="4"/>
      <c r="G184" s="2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15">
      <c r="A185" s="4"/>
      <c r="B185" s="4"/>
      <c r="C185" s="4"/>
      <c r="D185" s="4"/>
      <c r="E185" s="4"/>
      <c r="F185" s="4"/>
      <c r="G185" s="2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15">
      <c r="A186" s="4"/>
      <c r="B186" s="4"/>
      <c r="C186" s="4"/>
      <c r="D186" s="4"/>
      <c r="E186" s="4"/>
      <c r="F186" s="4"/>
      <c r="G186" s="2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15">
      <c r="A187" s="4"/>
      <c r="B187" s="4"/>
      <c r="C187" s="4"/>
      <c r="D187" s="4"/>
      <c r="E187" s="4"/>
      <c r="F187" s="4"/>
      <c r="G187" s="2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15">
      <c r="A188" s="4"/>
      <c r="B188" s="4"/>
      <c r="C188" s="4"/>
      <c r="D188" s="4"/>
      <c r="E188" s="4"/>
      <c r="F188" s="4"/>
      <c r="G188" s="2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15">
      <c r="A189" s="4"/>
      <c r="B189" s="4"/>
      <c r="C189" s="4"/>
      <c r="D189" s="4"/>
      <c r="E189" s="4"/>
      <c r="F189" s="4"/>
      <c r="G189" s="2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15">
      <c r="A190" s="4"/>
      <c r="B190" s="4"/>
      <c r="C190" s="4"/>
      <c r="D190" s="4"/>
      <c r="E190" s="4"/>
      <c r="F190" s="4"/>
      <c r="G190" s="2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15">
      <c r="A191" s="4"/>
      <c r="B191" s="4"/>
      <c r="C191" s="4"/>
      <c r="D191" s="4"/>
      <c r="E191" s="4"/>
      <c r="F191" s="4"/>
      <c r="G191" s="2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15">
      <c r="A192" s="4"/>
      <c r="B192" s="4"/>
      <c r="C192" s="4"/>
      <c r="D192" s="4"/>
      <c r="E192" s="4"/>
      <c r="F192" s="4"/>
      <c r="G192" s="2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15">
      <c r="A193" s="4"/>
      <c r="B193" s="4"/>
      <c r="C193" s="4"/>
      <c r="D193" s="4"/>
      <c r="E193" s="4"/>
      <c r="F193" s="4"/>
      <c r="G193" s="2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15">
      <c r="A194" s="4"/>
      <c r="B194" s="4"/>
      <c r="C194" s="4"/>
      <c r="D194" s="4"/>
      <c r="E194" s="4"/>
      <c r="F194" s="4"/>
      <c r="G194" s="2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15">
      <c r="A195" s="4"/>
      <c r="B195" s="4"/>
      <c r="C195" s="4"/>
      <c r="D195" s="4"/>
      <c r="E195" s="4"/>
      <c r="F195" s="4"/>
      <c r="G195" s="2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15">
      <c r="A196" s="4"/>
      <c r="B196" s="4"/>
      <c r="C196" s="4"/>
      <c r="D196" s="4"/>
      <c r="E196" s="4"/>
      <c r="F196" s="4"/>
      <c r="G196" s="2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15">
      <c r="A197" s="4"/>
      <c r="B197" s="4"/>
      <c r="C197" s="4"/>
      <c r="D197" s="4"/>
      <c r="E197" s="4"/>
      <c r="F197" s="4"/>
      <c r="G197" s="2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15">
      <c r="A198" s="4"/>
      <c r="B198" s="4"/>
      <c r="C198" s="4"/>
      <c r="D198" s="4"/>
      <c r="E198" s="4"/>
      <c r="F198" s="4"/>
      <c r="G198" s="2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15">
      <c r="A199" s="4"/>
      <c r="B199" s="4"/>
      <c r="C199" s="4"/>
      <c r="D199" s="4"/>
      <c r="E199" s="4"/>
      <c r="F199" s="4"/>
      <c r="G199" s="2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15">
      <c r="A200" s="4"/>
      <c r="B200" s="4"/>
      <c r="C200" s="4"/>
      <c r="D200" s="4"/>
      <c r="E200" s="4"/>
      <c r="F200" s="4"/>
      <c r="G200" s="2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15">
      <c r="A201" s="4"/>
      <c r="B201" s="4"/>
      <c r="C201" s="4"/>
      <c r="D201" s="4"/>
      <c r="E201" s="4"/>
      <c r="F201" s="4"/>
      <c r="G201" s="2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15">
      <c r="A202" s="4"/>
      <c r="B202" s="4"/>
      <c r="C202" s="4"/>
      <c r="D202" s="4"/>
      <c r="E202" s="4"/>
      <c r="F202" s="4"/>
      <c r="G202" s="2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15">
      <c r="A203" s="4"/>
      <c r="B203" s="4"/>
      <c r="C203" s="4"/>
      <c r="D203" s="4"/>
      <c r="E203" s="4"/>
      <c r="F203" s="4"/>
      <c r="G203" s="2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15">
      <c r="A204" s="4"/>
      <c r="B204" s="4"/>
      <c r="C204" s="4"/>
      <c r="D204" s="4"/>
      <c r="E204" s="4"/>
      <c r="F204" s="4"/>
      <c r="G204" s="2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15">
      <c r="A205" s="4"/>
      <c r="B205" s="4"/>
      <c r="C205" s="4"/>
      <c r="D205" s="4"/>
      <c r="E205" s="4"/>
      <c r="F205" s="4"/>
      <c r="G205" s="2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15">
      <c r="A206" s="4"/>
      <c r="B206" s="4"/>
      <c r="C206" s="4"/>
      <c r="D206" s="4"/>
      <c r="E206" s="4"/>
      <c r="F206" s="4"/>
      <c r="G206" s="2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15">
      <c r="A207" s="4"/>
      <c r="B207" s="4"/>
      <c r="C207" s="4"/>
      <c r="D207" s="4"/>
      <c r="E207" s="4"/>
      <c r="F207" s="4"/>
      <c r="G207" s="2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15">
      <c r="A208" s="4"/>
      <c r="B208" s="4"/>
      <c r="C208" s="4"/>
      <c r="D208" s="4"/>
      <c r="E208" s="4"/>
      <c r="F208" s="4"/>
      <c r="G208" s="2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15">
      <c r="A209" s="4"/>
      <c r="B209" s="4"/>
      <c r="C209" s="4"/>
      <c r="D209" s="4"/>
      <c r="E209" s="4"/>
      <c r="F209" s="4"/>
      <c r="G209" s="2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15">
      <c r="A210" s="4"/>
      <c r="B210" s="4"/>
      <c r="C210" s="4"/>
      <c r="D210" s="4"/>
      <c r="E210" s="4"/>
      <c r="F210" s="4"/>
      <c r="G210" s="2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15">
      <c r="A211" s="4"/>
      <c r="B211" s="4"/>
      <c r="C211" s="4"/>
      <c r="D211" s="4"/>
      <c r="E211" s="4"/>
      <c r="F211" s="4"/>
      <c r="G211" s="2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15">
      <c r="A212" s="4"/>
      <c r="B212" s="4"/>
      <c r="C212" s="4"/>
      <c r="D212" s="4"/>
      <c r="E212" s="4"/>
      <c r="F212" s="4"/>
      <c r="G212" s="2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15">
      <c r="A213" s="4"/>
      <c r="B213" s="4"/>
      <c r="C213" s="4"/>
      <c r="D213" s="4"/>
      <c r="E213" s="4"/>
      <c r="F213" s="4"/>
      <c r="G213" s="2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15">
      <c r="A214" s="4"/>
      <c r="B214" s="4"/>
      <c r="C214" s="4"/>
      <c r="D214" s="4"/>
      <c r="E214" s="4"/>
      <c r="F214" s="4"/>
      <c r="G214" s="2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15">
      <c r="A215" s="4"/>
      <c r="B215" s="4"/>
      <c r="C215" s="4"/>
      <c r="D215" s="4"/>
      <c r="E215" s="4"/>
      <c r="F215" s="4"/>
      <c r="G215" s="2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15">
      <c r="A216" s="4"/>
      <c r="B216" s="4"/>
      <c r="C216" s="4"/>
      <c r="D216" s="4"/>
      <c r="E216" s="4"/>
      <c r="F216" s="4"/>
      <c r="G216" s="2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15">
      <c r="A217" s="4"/>
      <c r="B217" s="4"/>
      <c r="C217" s="4"/>
      <c r="D217" s="4"/>
      <c r="E217" s="4"/>
      <c r="F217" s="4"/>
      <c r="G217" s="2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15">
      <c r="A218" s="4"/>
      <c r="B218" s="4"/>
      <c r="C218" s="4"/>
      <c r="D218" s="4"/>
      <c r="E218" s="4"/>
      <c r="F218" s="4"/>
      <c r="G218" s="2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15">
      <c r="A219" s="4"/>
      <c r="B219" s="4"/>
      <c r="C219" s="4"/>
      <c r="D219" s="4"/>
      <c r="E219" s="4"/>
      <c r="F219" s="4"/>
      <c r="G219" s="2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15">
      <c r="A220" s="4"/>
      <c r="B220" s="4"/>
      <c r="C220" s="4"/>
      <c r="D220" s="4"/>
      <c r="E220" s="4"/>
      <c r="F220" s="4"/>
      <c r="G220" s="2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15"/>
    <row r="222" spans="1:23" ht="15.75" customHeight="1" x14ac:dyDescent="0.15"/>
    <row r="223" spans="1:23" ht="15.75" customHeight="1" x14ac:dyDescent="0.15"/>
    <row r="224" spans="1:23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">
    <mergeCell ref="A1:G1"/>
    <mergeCell ref="U20:U23"/>
    <mergeCell ref="V20:V23"/>
    <mergeCell ref="N20:N23"/>
    <mergeCell ref="N29:N36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1000"/>
  <sheetViews>
    <sheetView workbookViewId="0">
      <selection activeCell="B6" sqref="B6"/>
    </sheetView>
  </sheetViews>
  <sheetFormatPr baseColWidth="10" defaultColWidth="12.6640625" defaultRowHeight="15" customHeight="1" x14ac:dyDescent="0.15"/>
  <cols>
    <col min="1" max="2" width="30.83203125" customWidth="1"/>
    <col min="9" max="11" width="15.33203125" customWidth="1"/>
  </cols>
  <sheetData>
    <row r="1" spans="1:23" ht="15.75" customHeight="1" x14ac:dyDescent="0.15">
      <c r="A1" s="90" t="s">
        <v>944</v>
      </c>
      <c r="B1" s="83"/>
      <c r="C1" s="83"/>
      <c r="D1" s="83"/>
      <c r="E1" s="83"/>
      <c r="F1" s="83"/>
      <c r="G1" s="8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 customHeight="1" x14ac:dyDescent="0.15">
      <c r="A2" s="15" t="s">
        <v>890</v>
      </c>
      <c r="B2" s="15" t="s">
        <v>891</v>
      </c>
      <c r="C2" s="15" t="s">
        <v>1</v>
      </c>
      <c r="D2" s="15" t="s">
        <v>893</v>
      </c>
      <c r="E2" s="15" t="s">
        <v>6</v>
      </c>
      <c r="F2" s="16" t="s">
        <v>2</v>
      </c>
      <c r="G2" s="16" t="s">
        <v>3</v>
      </c>
      <c r="H2" s="4"/>
      <c r="I2" s="20"/>
      <c r="J2" s="21" t="s">
        <v>230</v>
      </c>
      <c r="K2" s="21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 customHeight="1" x14ac:dyDescent="0.15">
      <c r="A3" s="4" t="s">
        <v>898</v>
      </c>
      <c r="B3" s="4" t="s">
        <v>945</v>
      </c>
      <c r="C3" s="4" t="s">
        <v>607</v>
      </c>
      <c r="D3" s="4" t="s">
        <v>899</v>
      </c>
      <c r="E3" s="4" t="s">
        <v>14</v>
      </c>
      <c r="F3" s="4" t="s">
        <v>51</v>
      </c>
      <c r="G3" s="23">
        <v>6</v>
      </c>
      <c r="H3" s="16"/>
      <c r="I3" s="24" t="s">
        <v>232</v>
      </c>
      <c r="J3" s="25">
        <f>AVERAGE(G3:G5)</f>
        <v>4.9858757062146895</v>
      </c>
      <c r="K3" s="26" t="s">
        <v>246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customHeight="1" x14ac:dyDescent="0.15">
      <c r="A4" s="4" t="s">
        <v>500</v>
      </c>
      <c r="B4" s="4" t="s">
        <v>946</v>
      </c>
      <c r="C4" s="4" t="s">
        <v>504</v>
      </c>
      <c r="D4" s="4" t="s">
        <v>18</v>
      </c>
      <c r="E4" s="4" t="s">
        <v>14</v>
      </c>
      <c r="F4" s="4" t="s">
        <v>51</v>
      </c>
      <c r="G4" s="23">
        <v>4</v>
      </c>
      <c r="H4" s="4"/>
      <c r="I4" s="24" t="s">
        <v>235</v>
      </c>
      <c r="J4" s="25">
        <f>STDEV(G3:G5)</f>
        <v>1.0002991987524512</v>
      </c>
      <c r="K4" s="26" t="s">
        <v>246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 x14ac:dyDescent="0.15">
      <c r="A5" s="7" t="s">
        <v>937</v>
      </c>
      <c r="B5" s="4" t="s">
        <v>947</v>
      </c>
      <c r="C5" s="7" t="s">
        <v>504</v>
      </c>
      <c r="D5" s="7" t="s">
        <v>18</v>
      </c>
      <c r="E5" s="4" t="s">
        <v>14</v>
      </c>
      <c r="F5" s="4" t="s">
        <v>51</v>
      </c>
      <c r="G5" s="23">
        <f>5.85/1.18</f>
        <v>4.9576271186440675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customHeight="1" x14ac:dyDescent="0.15">
      <c r="A6" s="4"/>
      <c r="B6" s="4"/>
      <c r="C6" s="4"/>
      <c r="D6" s="4"/>
      <c r="E6" s="4"/>
      <c r="F6" s="4"/>
      <c r="G6" s="23"/>
      <c r="I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customHeight="1" x14ac:dyDescent="0.15">
      <c r="A7" s="41"/>
      <c r="E7" s="4"/>
      <c r="F7" s="4"/>
      <c r="G7" s="23"/>
      <c r="H7" s="4"/>
      <c r="I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 x14ac:dyDescent="0.15">
      <c r="A8" s="41"/>
      <c r="E8" s="4"/>
      <c r="F8" s="4"/>
      <c r="G8" s="23"/>
      <c r="H8" s="4"/>
      <c r="I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 x14ac:dyDescent="0.15">
      <c r="A9" s="41"/>
      <c r="B9" s="4"/>
      <c r="E9" s="4"/>
      <c r="F9" s="4"/>
      <c r="G9" s="23"/>
      <c r="H9" s="4"/>
      <c r="I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 x14ac:dyDescent="0.15">
      <c r="A10" s="41"/>
      <c r="B10" s="4"/>
      <c r="E10" s="4"/>
      <c r="F10" s="4"/>
      <c r="G10" s="23"/>
      <c r="H10" s="4"/>
      <c r="I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 x14ac:dyDescent="0.15">
      <c r="A11" s="41"/>
      <c r="E11" s="4"/>
      <c r="F11" s="4"/>
      <c r="G11" s="23"/>
      <c r="H11" s="4"/>
      <c r="I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15">
      <c r="A12" s="41"/>
      <c r="E12" s="4"/>
      <c r="F12" s="4"/>
      <c r="G12" s="23"/>
      <c r="H12" s="4"/>
      <c r="I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 x14ac:dyDescent="0.15">
      <c r="A13" s="41"/>
      <c r="B13" s="4"/>
      <c r="E13" s="4"/>
      <c r="F13" s="4"/>
      <c r="G13" s="23"/>
      <c r="H13" s="4"/>
      <c r="I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x14ac:dyDescent="0.15">
      <c r="A14" s="41"/>
      <c r="B14" s="4"/>
      <c r="E14" s="4"/>
      <c r="F14" s="4"/>
      <c r="G14" s="23"/>
      <c r="H14" s="4"/>
      <c r="I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 x14ac:dyDescent="0.15">
      <c r="H15" s="4"/>
      <c r="I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 x14ac:dyDescent="0.15">
      <c r="H16" s="4"/>
      <c r="I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8:23" ht="15.75" customHeight="1" x14ac:dyDescent="0.15">
      <c r="H17" s="4"/>
      <c r="I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8:23" ht="15.75" customHeight="1" x14ac:dyDescent="0.15">
      <c r="H18" s="4"/>
      <c r="I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8:23" ht="15.75" customHeight="1" x14ac:dyDescent="0.15"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8:23" ht="15.75" customHeight="1" x14ac:dyDescent="0.15"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8:23" ht="15.75" customHeight="1" x14ac:dyDescent="0.15"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8:23" ht="15.75" customHeight="1" x14ac:dyDescent="0.15"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8:23" ht="15.75" customHeight="1" x14ac:dyDescent="0.15"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8:23" ht="15.75" customHeight="1" x14ac:dyDescent="0.15"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8:23" ht="15.75" customHeight="1" x14ac:dyDescent="0.15"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8:23" ht="15.75" customHeight="1" x14ac:dyDescent="0.15"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8:23" ht="15.75" customHeight="1" x14ac:dyDescent="0.15"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8:23" ht="15.75" customHeight="1" x14ac:dyDescent="0.15"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8:23" ht="15.75" customHeight="1" x14ac:dyDescent="0.15"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8:23" ht="15.75" customHeight="1" x14ac:dyDescent="0.15"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8:23" ht="15.75" customHeight="1" x14ac:dyDescent="0.15"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8:23" ht="15.75" customHeight="1" x14ac:dyDescent="0.15"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8:23" ht="15.75" customHeight="1" x14ac:dyDescent="0.15"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8:23" ht="15.75" customHeight="1" x14ac:dyDescent="0.15"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8:23" ht="15.75" customHeight="1" x14ac:dyDescent="0.15"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8:23" ht="15.75" customHeight="1" x14ac:dyDescent="0.15"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8:23" ht="15.75" customHeight="1" x14ac:dyDescent="0.15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8:23" ht="15.75" customHeight="1" x14ac:dyDescent="0.15"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8:23" ht="15.75" customHeight="1" x14ac:dyDescent="0.15"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8:23" ht="15.75" customHeight="1" x14ac:dyDescent="0.15"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8:23" ht="15.75" customHeight="1" x14ac:dyDescent="0.15"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8:23" ht="15.75" customHeight="1" x14ac:dyDescent="0.15"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8:23" ht="15.75" customHeight="1" x14ac:dyDescent="0.15"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8:23" ht="15.75" customHeight="1" x14ac:dyDescent="0.15"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8:23" ht="15.75" customHeight="1" x14ac:dyDescent="0.15"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8:23" ht="15.75" customHeight="1" x14ac:dyDescent="0.15"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8:23" ht="15.75" customHeight="1" x14ac:dyDescent="0.15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8:23" ht="15.75" customHeight="1" x14ac:dyDescent="0.15"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15"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15"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15"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15"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15"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15"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15"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15">
      <c r="A56" s="4"/>
      <c r="B56" s="4"/>
      <c r="C56" s="4"/>
      <c r="D56" s="4"/>
      <c r="E56" s="4"/>
      <c r="F56" s="4"/>
      <c r="G56" s="2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15">
      <c r="A57" s="4"/>
      <c r="B57" s="4"/>
      <c r="C57" s="4"/>
      <c r="D57" s="4"/>
      <c r="E57" s="4"/>
      <c r="F57" s="4"/>
      <c r="G57" s="2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15">
      <c r="A58" s="4"/>
      <c r="B58" s="4"/>
      <c r="C58" s="4"/>
      <c r="D58" s="4"/>
      <c r="E58" s="4"/>
      <c r="F58" s="4"/>
      <c r="G58" s="2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15">
      <c r="A59" s="4"/>
      <c r="B59" s="4"/>
      <c r="C59" s="4"/>
      <c r="D59" s="4"/>
      <c r="E59" s="4"/>
      <c r="F59" s="4"/>
      <c r="G59" s="2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15">
      <c r="A60" s="4"/>
      <c r="B60" s="4"/>
      <c r="C60" s="4"/>
      <c r="D60" s="4"/>
      <c r="E60" s="4"/>
      <c r="F60" s="4"/>
      <c r="G60" s="2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15">
      <c r="A61" s="4"/>
      <c r="B61" s="4"/>
      <c r="C61" s="4"/>
      <c r="D61" s="4"/>
      <c r="E61" s="4"/>
      <c r="F61" s="4"/>
      <c r="G61" s="2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15">
      <c r="A62" s="4"/>
      <c r="B62" s="4"/>
      <c r="C62" s="4"/>
      <c r="D62" s="4"/>
      <c r="E62" s="4"/>
      <c r="F62" s="4"/>
      <c r="G62" s="2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15">
      <c r="A63" s="4"/>
      <c r="B63" s="4"/>
      <c r="C63" s="4"/>
      <c r="D63" s="4"/>
      <c r="E63" s="4"/>
      <c r="F63" s="4"/>
      <c r="G63" s="2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15">
      <c r="A64" s="4"/>
      <c r="B64" s="4"/>
      <c r="C64" s="4"/>
      <c r="D64" s="4"/>
      <c r="E64" s="4"/>
      <c r="F64" s="4"/>
      <c r="G64" s="2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15">
      <c r="A65" s="4"/>
      <c r="B65" s="4"/>
      <c r="C65" s="4"/>
      <c r="D65" s="4"/>
      <c r="E65" s="4"/>
      <c r="F65" s="4"/>
      <c r="G65" s="2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15">
      <c r="A66" s="4"/>
      <c r="B66" s="4"/>
      <c r="C66" s="4"/>
      <c r="D66" s="4"/>
      <c r="E66" s="4"/>
      <c r="F66" s="4"/>
      <c r="G66" s="2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15">
      <c r="A67" s="4"/>
      <c r="B67" s="4"/>
      <c r="C67" s="4"/>
      <c r="D67" s="4"/>
      <c r="E67" s="4"/>
      <c r="F67" s="4"/>
      <c r="G67" s="2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15">
      <c r="A68" s="4"/>
      <c r="B68" s="4"/>
      <c r="C68" s="4"/>
      <c r="D68" s="4"/>
      <c r="E68" s="4"/>
      <c r="F68" s="4"/>
      <c r="G68" s="2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15">
      <c r="A69" s="4"/>
      <c r="B69" s="4"/>
      <c r="C69" s="4"/>
      <c r="D69" s="4"/>
      <c r="E69" s="4"/>
      <c r="F69" s="4"/>
      <c r="G69" s="2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15">
      <c r="A70" s="4"/>
      <c r="B70" s="4"/>
      <c r="C70" s="4"/>
      <c r="D70" s="4"/>
      <c r="E70" s="4"/>
      <c r="F70" s="4"/>
      <c r="G70" s="2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15">
      <c r="A71" s="4"/>
      <c r="B71" s="4"/>
      <c r="C71" s="4"/>
      <c r="D71" s="4"/>
      <c r="E71" s="4"/>
      <c r="F71" s="4"/>
      <c r="G71" s="2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15">
      <c r="A72" s="4"/>
      <c r="B72" s="4"/>
      <c r="C72" s="4"/>
      <c r="D72" s="4"/>
      <c r="E72" s="4"/>
      <c r="F72" s="4"/>
      <c r="G72" s="2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15">
      <c r="A73" s="4"/>
      <c r="B73" s="4"/>
      <c r="C73" s="4"/>
      <c r="D73" s="4"/>
      <c r="E73" s="4"/>
      <c r="F73" s="4"/>
      <c r="G73" s="2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15">
      <c r="A74" s="4"/>
      <c r="B74" s="4"/>
      <c r="C74" s="4"/>
      <c r="D74" s="4"/>
      <c r="E74" s="4"/>
      <c r="F74" s="4"/>
      <c r="G74" s="2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15">
      <c r="A75" s="4"/>
      <c r="B75" s="4"/>
      <c r="C75" s="4"/>
      <c r="D75" s="4"/>
      <c r="E75" s="4"/>
      <c r="F75" s="4"/>
      <c r="G75" s="2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15">
      <c r="A76" s="4"/>
      <c r="B76" s="4"/>
      <c r="C76" s="4"/>
      <c r="D76" s="4"/>
      <c r="E76" s="4"/>
      <c r="F76" s="4"/>
      <c r="G76" s="2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15">
      <c r="A77" s="4"/>
      <c r="B77" s="4"/>
      <c r="C77" s="4"/>
      <c r="D77" s="4"/>
      <c r="E77" s="4"/>
      <c r="F77" s="4"/>
      <c r="G77" s="2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15">
      <c r="A78" s="4"/>
      <c r="B78" s="4"/>
      <c r="C78" s="4"/>
      <c r="D78" s="4"/>
      <c r="E78" s="4"/>
      <c r="F78" s="4"/>
      <c r="G78" s="2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15">
      <c r="A79" s="4"/>
      <c r="B79" s="4"/>
      <c r="C79" s="4"/>
      <c r="D79" s="4"/>
      <c r="E79" s="4"/>
      <c r="F79" s="4"/>
      <c r="G79" s="2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15">
      <c r="A80" s="4"/>
      <c r="B80" s="4"/>
      <c r="C80" s="4"/>
      <c r="D80" s="4"/>
      <c r="E80" s="4"/>
      <c r="F80" s="4"/>
      <c r="G80" s="2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15">
      <c r="A81" s="4"/>
      <c r="B81" s="4"/>
      <c r="C81" s="4"/>
      <c r="D81" s="4"/>
      <c r="E81" s="4"/>
      <c r="F81" s="4"/>
      <c r="G81" s="2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15">
      <c r="A82" s="4"/>
      <c r="B82" s="4"/>
      <c r="C82" s="4"/>
      <c r="D82" s="4"/>
      <c r="E82" s="4"/>
      <c r="F82" s="4"/>
      <c r="G82" s="2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15">
      <c r="A83" s="4"/>
      <c r="B83" s="4"/>
      <c r="C83" s="4"/>
      <c r="D83" s="4"/>
      <c r="E83" s="4"/>
      <c r="F83" s="4"/>
      <c r="G83" s="2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15">
      <c r="A84" s="4"/>
      <c r="B84" s="4"/>
      <c r="C84" s="4"/>
      <c r="D84" s="4"/>
      <c r="E84" s="4"/>
      <c r="F84" s="4"/>
      <c r="G84" s="2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15">
      <c r="A85" s="4"/>
      <c r="B85" s="4"/>
      <c r="C85" s="4"/>
      <c r="D85" s="4"/>
      <c r="E85" s="4"/>
      <c r="F85" s="4"/>
      <c r="G85" s="2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15">
      <c r="A86" s="4"/>
      <c r="B86" s="4"/>
      <c r="C86" s="4"/>
      <c r="D86" s="4"/>
      <c r="E86" s="4"/>
      <c r="F86" s="4"/>
      <c r="G86" s="2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15">
      <c r="A87" s="4"/>
      <c r="B87" s="4"/>
      <c r="C87" s="4"/>
      <c r="D87" s="4"/>
      <c r="E87" s="4"/>
      <c r="F87" s="4"/>
      <c r="G87" s="2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15">
      <c r="A88" s="4"/>
      <c r="B88" s="4"/>
      <c r="C88" s="4"/>
      <c r="D88" s="4"/>
      <c r="E88" s="4"/>
      <c r="F88" s="4"/>
      <c r="G88" s="2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15">
      <c r="A89" s="4"/>
      <c r="B89" s="4"/>
      <c r="C89" s="4"/>
      <c r="D89" s="4"/>
      <c r="E89" s="4"/>
      <c r="F89" s="4"/>
      <c r="G89" s="2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15">
      <c r="A90" s="4"/>
      <c r="B90" s="4"/>
      <c r="C90" s="4"/>
      <c r="D90" s="4"/>
      <c r="E90" s="4"/>
      <c r="F90" s="4"/>
      <c r="G90" s="2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15">
      <c r="A91" s="4"/>
      <c r="B91" s="4"/>
      <c r="C91" s="4"/>
      <c r="D91" s="4"/>
      <c r="E91" s="4"/>
      <c r="F91" s="4"/>
      <c r="G91" s="2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15">
      <c r="A92" s="4"/>
      <c r="B92" s="4"/>
      <c r="C92" s="4"/>
      <c r="D92" s="4"/>
      <c r="E92" s="4"/>
      <c r="F92" s="4"/>
      <c r="G92" s="2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15">
      <c r="A93" s="4"/>
      <c r="B93" s="4"/>
      <c r="C93" s="4"/>
      <c r="D93" s="4"/>
      <c r="E93" s="4"/>
      <c r="F93" s="4"/>
      <c r="G93" s="2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15">
      <c r="A94" s="4"/>
      <c r="B94" s="4"/>
      <c r="C94" s="4"/>
      <c r="D94" s="4"/>
      <c r="E94" s="4"/>
      <c r="F94" s="4"/>
      <c r="G94" s="2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15">
      <c r="A95" s="4"/>
      <c r="B95" s="4"/>
      <c r="C95" s="4"/>
      <c r="D95" s="4"/>
      <c r="E95" s="4"/>
      <c r="F95" s="4"/>
      <c r="G95" s="2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15">
      <c r="A96" s="4"/>
      <c r="B96" s="4"/>
      <c r="C96" s="4"/>
      <c r="D96" s="4"/>
      <c r="E96" s="4"/>
      <c r="F96" s="4"/>
      <c r="G96" s="2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15">
      <c r="A97" s="4"/>
      <c r="B97" s="4"/>
      <c r="C97" s="4"/>
      <c r="D97" s="4"/>
      <c r="E97" s="4"/>
      <c r="F97" s="4"/>
      <c r="G97" s="2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15">
      <c r="A98" s="4"/>
      <c r="B98" s="4"/>
      <c r="C98" s="4"/>
      <c r="D98" s="4"/>
      <c r="E98" s="4"/>
      <c r="F98" s="4"/>
      <c r="G98" s="2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15">
      <c r="A99" s="4"/>
      <c r="B99" s="4"/>
      <c r="C99" s="4"/>
      <c r="D99" s="4"/>
      <c r="E99" s="4"/>
      <c r="F99" s="4"/>
      <c r="G99" s="2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15">
      <c r="A100" s="4"/>
      <c r="B100" s="4"/>
      <c r="C100" s="4"/>
      <c r="D100" s="4"/>
      <c r="E100" s="4"/>
      <c r="F100" s="4"/>
      <c r="G100" s="2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15">
      <c r="A101" s="4"/>
      <c r="B101" s="4"/>
      <c r="C101" s="4"/>
      <c r="D101" s="4"/>
      <c r="E101" s="4"/>
      <c r="F101" s="4"/>
      <c r="G101" s="2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15">
      <c r="A102" s="4"/>
      <c r="B102" s="4"/>
      <c r="C102" s="4"/>
      <c r="D102" s="4"/>
      <c r="E102" s="4"/>
      <c r="F102" s="4"/>
      <c r="G102" s="2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15">
      <c r="A103" s="4"/>
      <c r="B103" s="4"/>
      <c r="C103" s="4"/>
      <c r="D103" s="4"/>
      <c r="E103" s="4"/>
      <c r="F103" s="4"/>
      <c r="G103" s="2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15">
      <c r="A104" s="4"/>
      <c r="B104" s="4"/>
      <c r="C104" s="4"/>
      <c r="D104" s="4"/>
      <c r="E104" s="4"/>
      <c r="F104" s="4"/>
      <c r="G104" s="2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15">
      <c r="A105" s="4"/>
      <c r="B105" s="4"/>
      <c r="C105" s="4"/>
      <c r="D105" s="4"/>
      <c r="E105" s="4"/>
      <c r="F105" s="4"/>
      <c r="G105" s="2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15">
      <c r="A106" s="4"/>
      <c r="B106" s="4"/>
      <c r="C106" s="4"/>
      <c r="D106" s="4"/>
      <c r="E106" s="4"/>
      <c r="F106" s="4"/>
      <c r="G106" s="2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15">
      <c r="A107" s="4"/>
      <c r="B107" s="4"/>
      <c r="C107" s="4"/>
      <c r="D107" s="4"/>
      <c r="E107" s="4"/>
      <c r="F107" s="4"/>
      <c r="G107" s="2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15">
      <c r="A108" s="4"/>
      <c r="B108" s="4"/>
      <c r="C108" s="4"/>
      <c r="D108" s="4"/>
      <c r="E108" s="4"/>
      <c r="F108" s="4"/>
      <c r="G108" s="2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15">
      <c r="A109" s="4"/>
      <c r="B109" s="4"/>
      <c r="C109" s="4"/>
      <c r="D109" s="4"/>
      <c r="E109" s="4"/>
      <c r="F109" s="4"/>
      <c r="G109" s="2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15">
      <c r="A110" s="4"/>
      <c r="B110" s="4"/>
      <c r="C110" s="4"/>
      <c r="D110" s="4"/>
      <c r="E110" s="4"/>
      <c r="F110" s="4"/>
      <c r="G110" s="2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15">
      <c r="A111" s="4"/>
      <c r="B111" s="4"/>
      <c r="C111" s="4"/>
      <c r="D111" s="4"/>
      <c r="E111" s="4"/>
      <c r="F111" s="4"/>
      <c r="G111" s="2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15">
      <c r="A112" s="4"/>
      <c r="B112" s="4"/>
      <c r="C112" s="4"/>
      <c r="D112" s="4"/>
      <c r="E112" s="4"/>
      <c r="F112" s="4"/>
      <c r="G112" s="2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15">
      <c r="A113" s="4"/>
      <c r="B113" s="4"/>
      <c r="C113" s="4"/>
      <c r="D113" s="4"/>
      <c r="E113" s="4"/>
      <c r="F113" s="4"/>
      <c r="G113" s="2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15">
      <c r="A114" s="4"/>
      <c r="B114" s="4"/>
      <c r="C114" s="4"/>
      <c r="D114" s="4"/>
      <c r="E114" s="4"/>
      <c r="F114" s="4"/>
      <c r="G114" s="2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15">
      <c r="A115" s="4"/>
      <c r="B115" s="4"/>
      <c r="C115" s="4"/>
      <c r="D115" s="4"/>
      <c r="E115" s="4"/>
      <c r="F115" s="4"/>
      <c r="G115" s="2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15">
      <c r="A116" s="4"/>
      <c r="B116" s="4"/>
      <c r="C116" s="4"/>
      <c r="D116" s="4"/>
      <c r="E116" s="4"/>
      <c r="F116" s="4"/>
      <c r="G116" s="2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15">
      <c r="A117" s="4"/>
      <c r="B117" s="4"/>
      <c r="C117" s="4"/>
      <c r="D117" s="4"/>
      <c r="E117" s="4"/>
      <c r="F117" s="4"/>
      <c r="G117" s="2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15">
      <c r="A118" s="4"/>
      <c r="B118" s="4"/>
      <c r="C118" s="4"/>
      <c r="D118" s="4"/>
      <c r="E118" s="4"/>
      <c r="F118" s="4"/>
      <c r="G118" s="2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15">
      <c r="A119" s="4"/>
      <c r="B119" s="4"/>
      <c r="C119" s="4"/>
      <c r="D119" s="4"/>
      <c r="E119" s="4"/>
      <c r="F119" s="4"/>
      <c r="G119" s="2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15">
      <c r="A120" s="4"/>
      <c r="B120" s="4"/>
      <c r="C120" s="4"/>
      <c r="D120" s="4"/>
      <c r="E120" s="4"/>
      <c r="F120" s="4"/>
      <c r="G120" s="2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15">
      <c r="A121" s="4"/>
      <c r="B121" s="4"/>
      <c r="C121" s="4"/>
      <c r="D121" s="4"/>
      <c r="E121" s="4"/>
      <c r="F121" s="4"/>
      <c r="G121" s="2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15">
      <c r="A122" s="4"/>
      <c r="B122" s="4"/>
      <c r="C122" s="4"/>
      <c r="D122" s="4"/>
      <c r="E122" s="4"/>
      <c r="F122" s="4"/>
      <c r="G122" s="2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15">
      <c r="A123" s="4"/>
      <c r="B123" s="4"/>
      <c r="C123" s="4"/>
      <c r="D123" s="4"/>
      <c r="E123" s="4"/>
      <c r="F123" s="4"/>
      <c r="G123" s="2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15">
      <c r="A124" s="4"/>
      <c r="B124" s="4"/>
      <c r="C124" s="4"/>
      <c r="D124" s="4"/>
      <c r="E124" s="4"/>
      <c r="F124" s="4"/>
      <c r="G124" s="2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15">
      <c r="A125" s="4"/>
      <c r="B125" s="4"/>
      <c r="C125" s="4"/>
      <c r="D125" s="4"/>
      <c r="E125" s="4"/>
      <c r="F125" s="4"/>
      <c r="G125" s="2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15">
      <c r="A126" s="4"/>
      <c r="B126" s="4"/>
      <c r="C126" s="4"/>
      <c r="D126" s="4"/>
      <c r="E126" s="4"/>
      <c r="F126" s="4"/>
      <c r="G126" s="2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15">
      <c r="A127" s="4"/>
      <c r="B127" s="4"/>
      <c r="C127" s="4"/>
      <c r="D127" s="4"/>
      <c r="E127" s="4"/>
      <c r="F127" s="4"/>
      <c r="G127" s="2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15">
      <c r="A128" s="4"/>
      <c r="B128" s="4"/>
      <c r="C128" s="4"/>
      <c r="D128" s="4"/>
      <c r="E128" s="4"/>
      <c r="F128" s="4"/>
      <c r="G128" s="2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15">
      <c r="A129" s="4"/>
      <c r="B129" s="4"/>
      <c r="C129" s="4"/>
      <c r="D129" s="4"/>
      <c r="E129" s="4"/>
      <c r="F129" s="4"/>
      <c r="G129" s="2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15">
      <c r="A130" s="4"/>
      <c r="B130" s="4"/>
      <c r="C130" s="4"/>
      <c r="D130" s="4"/>
      <c r="E130" s="4"/>
      <c r="F130" s="4"/>
      <c r="G130" s="2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15">
      <c r="A131" s="4"/>
      <c r="B131" s="4"/>
      <c r="C131" s="4"/>
      <c r="D131" s="4"/>
      <c r="E131" s="4"/>
      <c r="F131" s="4"/>
      <c r="G131" s="2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15">
      <c r="A132" s="4"/>
      <c r="B132" s="4"/>
      <c r="C132" s="4"/>
      <c r="D132" s="4"/>
      <c r="E132" s="4"/>
      <c r="F132" s="4"/>
      <c r="G132" s="2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15">
      <c r="A133" s="4"/>
      <c r="B133" s="4"/>
      <c r="C133" s="4"/>
      <c r="D133" s="4"/>
      <c r="E133" s="4"/>
      <c r="F133" s="4"/>
      <c r="G133" s="2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15">
      <c r="A134" s="4"/>
      <c r="B134" s="4"/>
      <c r="C134" s="4"/>
      <c r="D134" s="4"/>
      <c r="E134" s="4"/>
      <c r="F134" s="4"/>
      <c r="G134" s="2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15">
      <c r="A135" s="4"/>
      <c r="B135" s="4"/>
      <c r="C135" s="4"/>
      <c r="D135" s="4"/>
      <c r="E135" s="4"/>
      <c r="F135" s="4"/>
      <c r="G135" s="2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15">
      <c r="A136" s="4"/>
      <c r="B136" s="4"/>
      <c r="C136" s="4"/>
      <c r="D136" s="4"/>
      <c r="E136" s="4"/>
      <c r="F136" s="4"/>
      <c r="G136" s="2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15">
      <c r="A137" s="4"/>
      <c r="B137" s="4"/>
      <c r="C137" s="4"/>
      <c r="D137" s="4"/>
      <c r="E137" s="4"/>
      <c r="F137" s="4"/>
      <c r="G137" s="2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15">
      <c r="A138" s="4"/>
      <c r="B138" s="4"/>
      <c r="C138" s="4"/>
      <c r="D138" s="4"/>
      <c r="E138" s="4"/>
      <c r="F138" s="4"/>
      <c r="G138" s="2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15">
      <c r="A139" s="4"/>
      <c r="B139" s="4"/>
      <c r="C139" s="4"/>
      <c r="D139" s="4"/>
      <c r="E139" s="4"/>
      <c r="F139" s="4"/>
      <c r="G139" s="2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15">
      <c r="A140" s="4"/>
      <c r="B140" s="4"/>
      <c r="C140" s="4"/>
      <c r="D140" s="4"/>
      <c r="E140" s="4"/>
      <c r="F140" s="4"/>
      <c r="G140" s="2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15">
      <c r="A141" s="4"/>
      <c r="B141" s="4"/>
      <c r="C141" s="4"/>
      <c r="D141" s="4"/>
      <c r="E141" s="4"/>
      <c r="F141" s="4"/>
      <c r="G141" s="2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15">
      <c r="A142" s="4"/>
      <c r="B142" s="4"/>
      <c r="C142" s="4"/>
      <c r="D142" s="4"/>
      <c r="E142" s="4"/>
      <c r="F142" s="4"/>
      <c r="G142" s="2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15">
      <c r="A143" s="4"/>
      <c r="B143" s="4"/>
      <c r="C143" s="4"/>
      <c r="D143" s="4"/>
      <c r="E143" s="4"/>
      <c r="F143" s="4"/>
      <c r="G143" s="2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15">
      <c r="A144" s="4"/>
      <c r="B144" s="4"/>
      <c r="C144" s="4"/>
      <c r="D144" s="4"/>
      <c r="E144" s="4"/>
      <c r="F144" s="4"/>
      <c r="G144" s="2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15">
      <c r="A145" s="4"/>
      <c r="B145" s="4"/>
      <c r="C145" s="4"/>
      <c r="D145" s="4"/>
      <c r="E145" s="4"/>
      <c r="F145" s="4"/>
      <c r="G145" s="2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15">
      <c r="A146" s="4"/>
      <c r="B146" s="4"/>
      <c r="C146" s="4"/>
      <c r="D146" s="4"/>
      <c r="E146" s="4"/>
      <c r="F146" s="4"/>
      <c r="G146" s="2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15">
      <c r="A147" s="4"/>
      <c r="B147" s="4"/>
      <c r="C147" s="4"/>
      <c r="D147" s="4"/>
      <c r="E147" s="4"/>
      <c r="F147" s="4"/>
      <c r="G147" s="2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15">
      <c r="A148" s="4"/>
      <c r="B148" s="4"/>
      <c r="C148" s="4"/>
      <c r="D148" s="4"/>
      <c r="E148" s="4"/>
      <c r="F148" s="4"/>
      <c r="G148" s="2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15">
      <c r="A149" s="4"/>
      <c r="B149" s="4"/>
      <c r="C149" s="4"/>
      <c r="D149" s="4"/>
      <c r="E149" s="4"/>
      <c r="F149" s="4"/>
      <c r="G149" s="2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15">
      <c r="A150" s="4"/>
      <c r="B150" s="4"/>
      <c r="C150" s="4"/>
      <c r="D150" s="4"/>
      <c r="E150" s="4"/>
      <c r="F150" s="4"/>
      <c r="G150" s="2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15">
      <c r="A151" s="4"/>
      <c r="B151" s="4"/>
      <c r="C151" s="4"/>
      <c r="D151" s="4"/>
      <c r="E151" s="4"/>
      <c r="F151" s="4"/>
      <c r="G151" s="2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15">
      <c r="A152" s="4"/>
      <c r="B152" s="4"/>
      <c r="C152" s="4"/>
      <c r="D152" s="4"/>
      <c r="E152" s="4"/>
      <c r="F152" s="4"/>
      <c r="G152" s="2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15">
      <c r="A153" s="4"/>
      <c r="B153" s="4"/>
      <c r="C153" s="4"/>
      <c r="D153" s="4"/>
      <c r="E153" s="4"/>
      <c r="F153" s="4"/>
      <c r="G153" s="2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15">
      <c r="A154" s="4"/>
      <c r="B154" s="4"/>
      <c r="C154" s="4"/>
      <c r="D154" s="4"/>
      <c r="E154" s="4"/>
      <c r="F154" s="4"/>
      <c r="G154" s="2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15">
      <c r="A155" s="4"/>
      <c r="B155" s="4"/>
      <c r="C155" s="4"/>
      <c r="D155" s="4"/>
      <c r="E155" s="4"/>
      <c r="F155" s="4"/>
      <c r="G155" s="2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15">
      <c r="A156" s="4"/>
      <c r="B156" s="4"/>
      <c r="C156" s="4"/>
      <c r="D156" s="4"/>
      <c r="E156" s="4"/>
      <c r="F156" s="4"/>
      <c r="G156" s="2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15">
      <c r="A157" s="4"/>
      <c r="B157" s="4"/>
      <c r="C157" s="4"/>
      <c r="D157" s="4"/>
      <c r="E157" s="4"/>
      <c r="F157" s="4"/>
      <c r="G157" s="2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15">
      <c r="A158" s="4"/>
      <c r="B158" s="4"/>
      <c r="C158" s="4"/>
      <c r="D158" s="4"/>
      <c r="E158" s="4"/>
      <c r="F158" s="4"/>
      <c r="G158" s="2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15">
      <c r="A159" s="4"/>
      <c r="B159" s="4"/>
      <c r="C159" s="4"/>
      <c r="D159" s="4"/>
      <c r="E159" s="4"/>
      <c r="F159" s="4"/>
      <c r="G159" s="2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15">
      <c r="A160" s="4"/>
      <c r="B160" s="4"/>
      <c r="C160" s="4"/>
      <c r="D160" s="4"/>
      <c r="E160" s="4"/>
      <c r="F160" s="4"/>
      <c r="G160" s="2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15">
      <c r="A161" s="4"/>
      <c r="B161" s="4"/>
      <c r="C161" s="4"/>
      <c r="D161" s="4"/>
      <c r="E161" s="4"/>
      <c r="F161" s="4"/>
      <c r="G161" s="2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15">
      <c r="A162" s="4"/>
      <c r="B162" s="4"/>
      <c r="C162" s="4"/>
      <c r="D162" s="4"/>
      <c r="E162" s="4"/>
      <c r="F162" s="4"/>
      <c r="G162" s="2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15">
      <c r="A163" s="4"/>
      <c r="B163" s="4"/>
      <c r="C163" s="4"/>
      <c r="D163" s="4"/>
      <c r="E163" s="4"/>
      <c r="F163" s="4"/>
      <c r="G163" s="2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15">
      <c r="A164" s="4"/>
      <c r="B164" s="4"/>
      <c r="C164" s="4"/>
      <c r="D164" s="4"/>
      <c r="E164" s="4"/>
      <c r="F164" s="4"/>
      <c r="G164" s="2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15">
      <c r="A165" s="4"/>
      <c r="B165" s="4"/>
      <c r="C165" s="4"/>
      <c r="D165" s="4"/>
      <c r="E165" s="4"/>
      <c r="F165" s="4"/>
      <c r="G165" s="2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15">
      <c r="A166" s="4"/>
      <c r="B166" s="4"/>
      <c r="C166" s="4"/>
      <c r="D166" s="4"/>
      <c r="E166" s="4"/>
      <c r="F166" s="4"/>
      <c r="G166" s="2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15">
      <c r="A167" s="4"/>
      <c r="B167" s="4"/>
      <c r="C167" s="4"/>
      <c r="D167" s="4"/>
      <c r="E167" s="4"/>
      <c r="F167" s="4"/>
      <c r="G167" s="2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15">
      <c r="A168" s="4"/>
      <c r="B168" s="4"/>
      <c r="C168" s="4"/>
      <c r="D168" s="4"/>
      <c r="E168" s="4"/>
      <c r="F168" s="4"/>
      <c r="G168" s="2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15">
      <c r="A169" s="4"/>
      <c r="B169" s="4"/>
      <c r="C169" s="4"/>
      <c r="D169" s="4"/>
      <c r="E169" s="4"/>
      <c r="F169" s="4"/>
      <c r="G169" s="2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15">
      <c r="A170" s="4"/>
      <c r="B170" s="4"/>
      <c r="C170" s="4"/>
      <c r="D170" s="4"/>
      <c r="E170" s="4"/>
      <c r="F170" s="4"/>
      <c r="G170" s="2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15">
      <c r="A171" s="4"/>
      <c r="B171" s="4"/>
      <c r="C171" s="4"/>
      <c r="D171" s="4"/>
      <c r="E171" s="4"/>
      <c r="F171" s="4"/>
      <c r="G171" s="2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15">
      <c r="A172" s="4"/>
      <c r="B172" s="4"/>
      <c r="C172" s="4"/>
      <c r="D172" s="4"/>
      <c r="E172" s="4"/>
      <c r="F172" s="4"/>
      <c r="G172" s="2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15">
      <c r="A173" s="4"/>
      <c r="B173" s="4"/>
      <c r="C173" s="4"/>
      <c r="D173" s="4"/>
      <c r="E173" s="4"/>
      <c r="F173" s="4"/>
      <c r="G173" s="2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15">
      <c r="A174" s="4"/>
      <c r="B174" s="4"/>
      <c r="C174" s="4"/>
      <c r="D174" s="4"/>
      <c r="E174" s="4"/>
      <c r="F174" s="4"/>
      <c r="G174" s="2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15">
      <c r="A175" s="4"/>
      <c r="B175" s="4"/>
      <c r="C175" s="4"/>
      <c r="D175" s="4"/>
      <c r="E175" s="4"/>
      <c r="F175" s="4"/>
      <c r="G175" s="2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15">
      <c r="A176" s="4"/>
      <c r="B176" s="4"/>
      <c r="C176" s="4"/>
      <c r="D176" s="4"/>
      <c r="E176" s="4"/>
      <c r="F176" s="4"/>
      <c r="G176" s="2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15">
      <c r="A177" s="4"/>
      <c r="B177" s="4"/>
      <c r="C177" s="4"/>
      <c r="D177" s="4"/>
      <c r="E177" s="4"/>
      <c r="F177" s="4"/>
      <c r="G177" s="2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15">
      <c r="A178" s="4"/>
      <c r="B178" s="4"/>
      <c r="C178" s="4"/>
      <c r="D178" s="4"/>
      <c r="E178" s="4"/>
      <c r="F178" s="4"/>
      <c r="G178" s="2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15">
      <c r="A179" s="4"/>
      <c r="B179" s="4"/>
      <c r="C179" s="4"/>
      <c r="D179" s="4"/>
      <c r="E179" s="4"/>
      <c r="F179" s="4"/>
      <c r="G179" s="2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15">
      <c r="A180" s="4"/>
      <c r="B180" s="4"/>
      <c r="C180" s="4"/>
      <c r="D180" s="4"/>
      <c r="E180" s="4"/>
      <c r="F180" s="4"/>
      <c r="G180" s="2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15">
      <c r="A181" s="4"/>
      <c r="B181" s="4"/>
      <c r="C181" s="4"/>
      <c r="D181" s="4"/>
      <c r="E181" s="4"/>
      <c r="F181" s="4"/>
      <c r="G181" s="2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15">
      <c r="A182" s="4"/>
      <c r="B182" s="4"/>
      <c r="C182" s="4"/>
      <c r="D182" s="4"/>
      <c r="E182" s="4"/>
      <c r="F182" s="4"/>
      <c r="G182" s="2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15">
      <c r="A183" s="4"/>
      <c r="B183" s="4"/>
      <c r="C183" s="4"/>
      <c r="D183" s="4"/>
      <c r="E183" s="4"/>
      <c r="F183" s="4"/>
      <c r="G183" s="2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15">
      <c r="A184" s="4"/>
      <c r="B184" s="4"/>
      <c r="C184" s="4"/>
      <c r="D184" s="4"/>
      <c r="E184" s="4"/>
      <c r="F184" s="4"/>
      <c r="G184" s="2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15">
      <c r="A185" s="4"/>
      <c r="B185" s="4"/>
      <c r="C185" s="4"/>
      <c r="D185" s="4"/>
      <c r="E185" s="4"/>
      <c r="F185" s="4"/>
      <c r="G185" s="2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15">
      <c r="A186" s="4"/>
      <c r="B186" s="4"/>
      <c r="C186" s="4"/>
      <c r="D186" s="4"/>
      <c r="E186" s="4"/>
      <c r="F186" s="4"/>
      <c r="G186" s="2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15">
      <c r="A187" s="4"/>
      <c r="B187" s="4"/>
      <c r="C187" s="4"/>
      <c r="D187" s="4"/>
      <c r="E187" s="4"/>
      <c r="F187" s="4"/>
      <c r="G187" s="2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15">
      <c r="A188" s="4"/>
      <c r="B188" s="4"/>
      <c r="C188" s="4"/>
      <c r="D188" s="4"/>
      <c r="E188" s="4"/>
      <c r="F188" s="4"/>
      <c r="G188" s="2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15">
      <c r="A189" s="4"/>
      <c r="B189" s="4"/>
      <c r="C189" s="4"/>
      <c r="D189" s="4"/>
      <c r="E189" s="4"/>
      <c r="F189" s="4"/>
      <c r="G189" s="2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15">
      <c r="A190" s="4"/>
      <c r="B190" s="4"/>
      <c r="C190" s="4"/>
      <c r="D190" s="4"/>
      <c r="E190" s="4"/>
      <c r="F190" s="4"/>
      <c r="G190" s="2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15">
      <c r="A191" s="4"/>
      <c r="B191" s="4"/>
      <c r="C191" s="4"/>
      <c r="D191" s="4"/>
      <c r="E191" s="4"/>
      <c r="F191" s="4"/>
      <c r="G191" s="2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15">
      <c r="A192" s="4"/>
      <c r="B192" s="4"/>
      <c r="C192" s="4"/>
      <c r="D192" s="4"/>
      <c r="E192" s="4"/>
      <c r="F192" s="4"/>
      <c r="G192" s="2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15">
      <c r="A193" s="4"/>
      <c r="B193" s="4"/>
      <c r="C193" s="4"/>
      <c r="D193" s="4"/>
      <c r="E193" s="4"/>
      <c r="F193" s="4"/>
      <c r="G193" s="2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15">
      <c r="A194" s="4"/>
      <c r="B194" s="4"/>
      <c r="C194" s="4"/>
      <c r="D194" s="4"/>
      <c r="E194" s="4"/>
      <c r="F194" s="4"/>
      <c r="G194" s="2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15">
      <c r="A195" s="4"/>
      <c r="B195" s="4"/>
      <c r="C195" s="4"/>
      <c r="D195" s="4"/>
      <c r="E195" s="4"/>
      <c r="F195" s="4"/>
      <c r="G195" s="2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15">
      <c r="A196" s="4"/>
      <c r="B196" s="4"/>
      <c r="C196" s="4"/>
      <c r="D196" s="4"/>
      <c r="E196" s="4"/>
      <c r="F196" s="4"/>
      <c r="G196" s="2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15">
      <c r="A197" s="4"/>
      <c r="B197" s="4"/>
      <c r="C197" s="4"/>
      <c r="D197" s="4"/>
      <c r="E197" s="4"/>
      <c r="F197" s="4"/>
      <c r="G197" s="2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15">
      <c r="A198" s="4"/>
      <c r="B198" s="4"/>
      <c r="C198" s="4"/>
      <c r="D198" s="4"/>
      <c r="E198" s="4"/>
      <c r="F198" s="4"/>
      <c r="G198" s="2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15">
      <c r="A199" s="4"/>
      <c r="B199" s="4"/>
      <c r="C199" s="4"/>
      <c r="D199" s="4"/>
      <c r="E199" s="4"/>
      <c r="F199" s="4"/>
      <c r="G199" s="2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15">
      <c r="A200" s="4"/>
      <c r="B200" s="4"/>
      <c r="C200" s="4"/>
      <c r="D200" s="4"/>
      <c r="E200" s="4"/>
      <c r="F200" s="4"/>
      <c r="G200" s="2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15">
      <c r="A201" s="4"/>
      <c r="B201" s="4"/>
      <c r="C201" s="4"/>
      <c r="D201" s="4"/>
      <c r="E201" s="4"/>
      <c r="F201" s="4"/>
      <c r="G201" s="2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15">
      <c r="A202" s="4"/>
      <c r="B202" s="4"/>
      <c r="C202" s="4"/>
      <c r="D202" s="4"/>
      <c r="E202" s="4"/>
      <c r="F202" s="4"/>
      <c r="G202" s="2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15">
      <c r="A203" s="4"/>
      <c r="B203" s="4"/>
      <c r="C203" s="4"/>
      <c r="D203" s="4"/>
      <c r="E203" s="4"/>
      <c r="F203" s="4"/>
      <c r="G203" s="2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15">
      <c r="A204" s="4"/>
      <c r="B204" s="4"/>
      <c r="C204" s="4"/>
      <c r="D204" s="4"/>
      <c r="E204" s="4"/>
      <c r="F204" s="4"/>
      <c r="G204" s="2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15">
      <c r="A205" s="4"/>
      <c r="B205" s="4"/>
      <c r="C205" s="4"/>
      <c r="D205" s="4"/>
      <c r="E205" s="4"/>
      <c r="F205" s="4"/>
      <c r="G205" s="2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15">
      <c r="A206" s="4"/>
      <c r="B206" s="4"/>
      <c r="C206" s="4"/>
      <c r="D206" s="4"/>
      <c r="E206" s="4"/>
      <c r="F206" s="4"/>
      <c r="G206" s="2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15">
      <c r="A207" s="4"/>
      <c r="B207" s="4"/>
      <c r="C207" s="4"/>
      <c r="D207" s="4"/>
      <c r="E207" s="4"/>
      <c r="F207" s="4"/>
      <c r="G207" s="2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15">
      <c r="A208" s="4"/>
      <c r="B208" s="4"/>
      <c r="C208" s="4"/>
      <c r="D208" s="4"/>
      <c r="E208" s="4"/>
      <c r="F208" s="4"/>
      <c r="G208" s="2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15">
      <c r="A209" s="4"/>
      <c r="B209" s="4"/>
      <c r="C209" s="4"/>
      <c r="D209" s="4"/>
      <c r="E209" s="4"/>
      <c r="F209" s="4"/>
      <c r="G209" s="2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15">
      <c r="A210" s="4"/>
      <c r="B210" s="4"/>
      <c r="C210" s="4"/>
      <c r="D210" s="4"/>
      <c r="E210" s="4"/>
      <c r="F210" s="4"/>
      <c r="G210" s="2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15">
      <c r="A211" s="4"/>
      <c r="B211" s="4"/>
      <c r="C211" s="4"/>
      <c r="D211" s="4"/>
      <c r="E211" s="4"/>
      <c r="F211" s="4"/>
      <c r="G211" s="2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15">
      <c r="A212" s="4"/>
      <c r="B212" s="4"/>
      <c r="C212" s="4"/>
      <c r="D212" s="4"/>
      <c r="E212" s="4"/>
      <c r="F212" s="4"/>
      <c r="G212" s="2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15">
      <c r="A213" s="4"/>
      <c r="B213" s="4"/>
      <c r="C213" s="4"/>
      <c r="D213" s="4"/>
      <c r="E213" s="4"/>
      <c r="F213" s="4"/>
      <c r="G213" s="2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15">
      <c r="A214" s="4"/>
      <c r="B214" s="4"/>
      <c r="C214" s="4"/>
      <c r="D214" s="4"/>
      <c r="E214" s="4"/>
      <c r="F214" s="4"/>
      <c r="G214" s="2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15">
      <c r="A215" s="4"/>
      <c r="B215" s="4"/>
      <c r="C215" s="4"/>
      <c r="D215" s="4"/>
      <c r="E215" s="4"/>
      <c r="F215" s="4"/>
      <c r="G215" s="2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15">
      <c r="A216" s="4"/>
      <c r="B216" s="4"/>
      <c r="C216" s="4"/>
      <c r="D216" s="4"/>
      <c r="E216" s="4"/>
      <c r="F216" s="4"/>
      <c r="G216" s="2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15">
      <c r="A217" s="4"/>
      <c r="B217" s="4"/>
      <c r="C217" s="4"/>
      <c r="D217" s="4"/>
      <c r="E217" s="4"/>
      <c r="F217" s="4"/>
      <c r="G217" s="2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15">
      <c r="A218" s="4"/>
      <c r="B218" s="4"/>
      <c r="C218" s="4"/>
      <c r="D218" s="4"/>
      <c r="E218" s="4"/>
      <c r="F218" s="4"/>
      <c r="G218" s="2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15">
      <c r="A219" s="4"/>
      <c r="B219" s="4"/>
      <c r="C219" s="4"/>
      <c r="D219" s="4"/>
      <c r="E219" s="4"/>
      <c r="F219" s="4"/>
      <c r="G219" s="2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15">
      <c r="A220" s="4"/>
      <c r="B220" s="4"/>
      <c r="C220" s="4"/>
      <c r="D220" s="4"/>
      <c r="E220" s="4"/>
      <c r="F220" s="4"/>
      <c r="G220" s="2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15"/>
    <row r="222" spans="1:23" ht="15.75" customHeight="1" x14ac:dyDescent="0.15"/>
    <row r="223" spans="1:23" ht="15.75" customHeight="1" x14ac:dyDescent="0.15"/>
    <row r="224" spans="1:23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Embodied Carbon Factors</vt:lpstr>
      <vt:lpstr>Module A1-A3</vt:lpstr>
      <vt:lpstr>Modules A4-A5</vt:lpstr>
      <vt:lpstr>EU-Earthen materials</vt:lpstr>
      <vt:lpstr>EU-Ceramic tiles</vt:lpstr>
      <vt:lpstr>EU-Lay in tile ceilings</vt:lpstr>
      <vt:lpstr>EU-Raised access floors</vt:lpstr>
      <vt:lpstr>EU-Piping</vt:lpstr>
      <vt:lpstr>EU-Elevators</vt:lpstr>
      <vt:lpstr>EU-HVAC</vt:lpstr>
      <vt:lpstr>EU-Electrical system</vt:lpstr>
      <vt:lpstr>EU-Fire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Aljawhari</dc:creator>
  <cp:lastModifiedBy>Martina Caruso</cp:lastModifiedBy>
  <dcterms:created xsi:type="dcterms:W3CDTF">2024-02-23T16:56:25Z</dcterms:created>
  <dcterms:modified xsi:type="dcterms:W3CDTF">2025-06-12T09:46:58Z</dcterms:modified>
</cp:coreProperties>
</file>